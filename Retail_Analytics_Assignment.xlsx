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Customers" sheetId="1" state="visible" r:id="rId1"/>
    <sheet xmlns:r="http://schemas.openxmlformats.org/officeDocument/2006/relationships" name="2_Cleaned_Customers" sheetId="2" state="visible" r:id="rId2"/>
    <sheet xmlns:r="http://schemas.openxmlformats.org/officeDocument/2006/relationships" name="3_Raw_Products" sheetId="3" state="visible" r:id="rId3"/>
    <sheet xmlns:r="http://schemas.openxmlformats.org/officeDocument/2006/relationships" name="4_Cleaned_Products" sheetId="4" state="visible" r:id="rId4"/>
    <sheet xmlns:r="http://schemas.openxmlformats.org/officeDocument/2006/relationships" name="5_Stores" sheetId="5" state="visible" r:id="rId5"/>
    <sheet xmlns:r="http://schemas.openxmlformats.org/officeDocument/2006/relationships" name="6_Sales_Cleaned" sheetId="6" state="visible" r:id="rId6"/>
    <sheet xmlns:r="http://schemas.openxmlformats.org/officeDocument/2006/relationships" name="7_Formulas_Analysis" sheetId="7" state="visible" r:id="rId7"/>
    <sheet xmlns:r="http://schemas.openxmlformats.org/officeDocument/2006/relationships" name="8_Descriptive_Stats" sheetId="8" state="visible" r:id="rId8"/>
    <sheet xmlns:r="http://schemas.openxmlformats.org/officeDocument/2006/relationships" name="9_Pivot_Summary" sheetId="9" state="visible" r:id="rId9"/>
    <sheet xmlns:r="http://schemas.openxmlformats.org/officeDocument/2006/relationships" name="10_Charts" sheetId="10" state="visible" r:id="rId10"/>
    <sheet xmlns:r="http://schemas.openxmlformats.org/officeDocument/2006/relationships" name="11_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C0000"/>
      <sz val="10"/>
    </font>
    <font>
      <name val="Arial"/>
      <b val="1"/>
      <color rgb="00CC0000"/>
      <sz val="9"/>
    </font>
    <font>
      <name val="Arial"/>
      <color rgb="00CC0000"/>
      <sz val="9"/>
    </font>
    <font>
      <name val="Arial"/>
      <b val="1"/>
      <color rgb="00996600"/>
      <sz val="9"/>
    </font>
    <font>
      <name val="Arial"/>
      <b val="1"/>
      <color rgb="00E65100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sz val="11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2E75B6"/>
      <sz val="20"/>
    </font>
    <font>
      <name val="Arial"/>
      <b val="1"/>
      <color rgb="001F7B4F"/>
      <sz val="20"/>
    </font>
    <font>
      <name val="Arial"/>
      <b val="1"/>
      <color rgb="007B3F9E"/>
      <sz val="20"/>
    </font>
    <font>
      <name val="Arial"/>
      <b val="1"/>
      <color rgb="00C25B11"/>
      <sz val="20"/>
    </font>
    <font>
      <name val="Arial"/>
      <color rgb="00FFFFFF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EBF3FB"/>
      </patternFill>
    </fill>
    <fill>
      <patternFill patternType="solid">
        <fgColor rgb="00FFE699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D5E8F0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FEEBA"/>
      </patternFill>
    </fill>
    <fill>
      <patternFill patternType="solid">
        <fgColor rgb="005B9BD5"/>
      </patternFill>
    </fill>
    <fill>
      <patternFill patternType="solid">
        <fgColor rgb="00FFDBB5"/>
      </patternFill>
    </fill>
    <fill>
      <patternFill patternType="solid">
        <fgColor rgb="00E8D5FF"/>
      </patternFill>
    </fill>
    <fill>
      <patternFill patternType="solid">
        <fgColor rgb="00E8E8E8"/>
      </patternFill>
    </fill>
    <fill>
      <patternFill patternType="solid">
        <fgColor rgb="00FFEECC"/>
      </patternFill>
    </fill>
    <fill>
      <patternFill patternType="solid">
        <fgColor rgb="00DDEEFF"/>
      </patternFill>
    </fill>
    <fill>
      <patternFill patternType="solid">
        <fgColor rgb="00DDFFEE"/>
      </patternFill>
    </fill>
    <fill>
      <patternFill patternType="solid">
        <fgColor rgb="00D9D9D9"/>
      </patternFill>
    </fill>
    <fill>
      <patternFill patternType="solid">
        <fgColor rgb="00F8F9FA"/>
      </patternFill>
    </fill>
    <fill>
      <patternFill patternType="solid">
        <fgColor rgb="001F7B4F"/>
      </patternFill>
    </fill>
    <fill>
      <patternFill patternType="solid">
        <fgColor rgb="007B3F9E"/>
      </patternFill>
    </fill>
    <fill>
      <patternFill patternType="solid">
        <fgColor rgb="00C25B11"/>
      </patternFill>
    </fill>
    <fill>
      <patternFill patternType="solid">
        <fgColor rgb="00FFDD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left" vertical="center" wrapText="1"/>
    </xf>
    <xf numFmtId="10" fontId="3" fillId="5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4" fontId="3" fillId="1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13" borderId="1" pivotButton="0" quotePrefix="0" xfId="0"/>
    <xf numFmtId="0" fontId="10" fillId="0" borderId="0" pivotButton="0" quotePrefix="0" xfId="0"/>
    <xf numFmtId="0" fontId="0" fillId="14" borderId="1" pivotButton="0" quotePrefix="0" xfId="0"/>
    <xf numFmtId="0" fontId="0" fillId="12" borderId="1" pivotButton="0" quotePrefix="0" xfId="0"/>
    <xf numFmtId="0" fontId="11" fillId="15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0" borderId="0" pivotButton="0" quotePrefix="0" xfId="0"/>
    <xf numFmtId="4" fontId="10" fillId="0" borderId="1" applyAlignment="1" pivotButton="0" quotePrefix="0" xfId="0">
      <alignment horizontal="left" vertical="center" wrapText="1"/>
    </xf>
    <xf numFmtId="4" fontId="10" fillId="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164" fontId="10" fillId="1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164" fontId="10" fillId="17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164" fontId="10" fillId="18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4" fontId="10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left" vertical="center" wrapText="1"/>
    </xf>
    <xf numFmtId="4" fontId="10" fillId="20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4" fontId="10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4" fontId="9" fillId="22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4" fontId="10" fillId="9" borderId="1" applyAlignment="1" pivotButton="0" quotePrefix="0" xfId="0">
      <alignment horizontal="left" vertical="center" wrapText="1"/>
    </xf>
    <xf numFmtId="4" fontId="10" fillId="11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4" fontId="10" fillId="10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0" fillId="0" borderId="1" pivotButton="0" quotePrefix="0" xfId="0"/>
    <xf numFmtId="4" fontId="10" fillId="0" borderId="1" pivotButton="0" quotePrefix="0" xfId="0"/>
    <xf numFmtId="0" fontId="14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4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center" wrapText="1"/>
    </xf>
    <xf numFmtId="0" fontId="2" fillId="26" borderId="0" applyAlignment="1" pivotButton="0" quotePrefix="0" xfId="0">
      <alignment horizontal="center" vertical="center" wrapText="1"/>
    </xf>
    <xf numFmtId="0" fontId="16" fillId="23" borderId="0" applyAlignment="1" pivotButton="0" quotePrefix="0" xfId="0">
      <alignment horizontal="center" vertical="center" wrapText="1"/>
    </xf>
    <xf numFmtId="0" fontId="17" fillId="23" borderId="0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center" vertical="center" wrapText="1"/>
    </xf>
    <xf numFmtId="0" fontId="19" fillId="23" borderId="0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4" fontId="10" fillId="19" borderId="1" applyAlignment="1" pivotButton="0" quotePrefix="0" xfId="0">
      <alignment horizontal="center" vertical="center" wrapText="1"/>
    </xf>
    <xf numFmtId="164" fontId="10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4" fontId="10" fillId="20" borderId="1" applyAlignment="1" pivotButton="0" quotePrefix="0" xfId="0">
      <alignment horizontal="center" vertical="center" wrapText="1"/>
    </xf>
    <xf numFmtId="164" fontId="10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4" fontId="10" fillId="21" borderId="1" applyAlignment="1" pivotButton="0" quotePrefix="0" xfId="0">
      <alignment horizontal="center" vertical="center" wrapText="1"/>
    </xf>
    <xf numFmtId="164" fontId="10" fillId="2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" fontId="10" fillId="9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164" fontId="10" fillId="1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4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4" fontId="10" fillId="10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164" fontId="10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164" fontId="10" fillId="18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center" vertical="center" wrapText="1"/>
    </xf>
    <xf numFmtId="164" fontId="10" fillId="27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Payment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'10_Charts'!$A$5:$A$7</f>
            </numRef>
          </cat>
          <val>
            <numRef>
              <f>'10_Charts'!$B$5:$B$7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Loyalty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'10_Charts'!L4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'10_Charts'!$K$5:$K$9</f>
            </numRef>
          </cat>
          <val>
            <numRef>
              <f>'10_Charts'!$L$5:$L$9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'10_Charts'!B23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'10_Charts'!$A$24:$A$26</f>
            </numRef>
          </cat>
          <val>
            <numRef>
              <f>'10_Charts'!$B$24:$B$26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Store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'10_Charts'!L23</f>
            </strRef>
          </tx>
          <spPr>
            <a:ln xmlns:a="http://schemas.openxmlformats.org/drawingml/2006/main">
              <a:prstDash val="solid"/>
            </a:ln>
          </spPr>
          <cat>
            <numRef>
              <f>'10_Charts'!$K$24:$K$26</f>
            </numRef>
          </cat>
          <val>
            <numRef>
              <f>'10_Charts'!$L$24:$L$26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21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9" customWidth="1" min="4" max="4"/>
    <col width="22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1" t="inlineStr">
        <is>
          <t>RAW CUSTOMER DATA (Original — Before Cleaning)</t>
        </is>
      </c>
    </row>
    <row r="3" ht="30" customHeight="1">
      <c r="A3" s="2" t="inlineStr">
        <is>
          <t>Customer_ID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City</t>
        </is>
      </c>
      <c r="F3" s="2" t="inlineStr">
        <is>
          <t>State</t>
        </is>
      </c>
      <c r="G3" s="2" t="inlineStr">
        <is>
          <t>Country</t>
        </is>
      </c>
      <c r="H3" s="2" t="inlineStr">
        <is>
          <t>Loyalty_Level</t>
        </is>
      </c>
    </row>
    <row r="4">
      <c r="A4" s="3" t="inlineStr">
        <is>
          <t>CUST1000</t>
        </is>
      </c>
      <c r="B4" s="3" t="inlineStr">
        <is>
          <t xml:space="preserve">  sheena bonilla  </t>
        </is>
      </c>
      <c r="C4" s="3" t="n">
        <v>55</v>
      </c>
      <c r="D4" s="3" t="inlineStr">
        <is>
          <t>Male</t>
        </is>
      </c>
      <c r="E4" s="3" t="inlineStr">
        <is>
          <t>Donaldton</t>
        </is>
      </c>
      <c r="F4" s="3" t="inlineStr">
        <is>
          <t>North Carolina</t>
        </is>
      </c>
      <c r="G4" s="3" t="inlineStr">
        <is>
          <t>USA</t>
        </is>
      </c>
      <c r="H4" s="3" t="n"/>
    </row>
    <row r="5">
      <c r="A5" s="4" t="inlineStr">
        <is>
          <t>CUST1001</t>
        </is>
      </c>
      <c r="B5" s="4" t="inlineStr">
        <is>
          <t>Eugene Nelson</t>
        </is>
      </c>
      <c r="C5" s="4" t="n">
        <v>26</v>
      </c>
      <c r="D5" s="4" t="inlineStr">
        <is>
          <t>Female</t>
        </is>
      </c>
      <c r="E5" s="4" t="inlineStr">
        <is>
          <t>Phillipsmouth</t>
        </is>
      </c>
      <c r="F5" s="4" t="inlineStr">
        <is>
          <t>North Dakota</t>
        </is>
      </c>
      <c r="G5" s="4" t="inlineStr">
        <is>
          <t>USA</t>
        </is>
      </c>
      <c r="H5" s="4" t="inlineStr">
        <is>
          <t>Platinum</t>
        </is>
      </c>
    </row>
    <row r="6">
      <c r="A6" s="3" t="inlineStr">
        <is>
          <t>CUST1002</t>
        </is>
      </c>
      <c r="B6" s="3" t="inlineStr">
        <is>
          <t>dr. Benjamin Price</t>
        </is>
      </c>
      <c r="C6" s="3" t="n">
        <v>29</v>
      </c>
      <c r="D6" s="3" t="inlineStr">
        <is>
          <t>Female</t>
        </is>
      </c>
      <c r="E6" s="3" t="inlineStr">
        <is>
          <t>Kylebury</t>
        </is>
      </c>
      <c r="F6" s="3" t="inlineStr">
        <is>
          <t>Alabama</t>
        </is>
      </c>
      <c r="G6" s="3" t="inlineStr">
        <is>
          <t>USA</t>
        </is>
      </c>
      <c r="H6" s="3" t="inlineStr">
        <is>
          <t>Platinum</t>
        </is>
      </c>
    </row>
    <row r="7">
      <c r="A7" s="3" t="inlineStr">
        <is>
          <t>CUST1003</t>
        </is>
      </c>
      <c r="B7" s="3" t="inlineStr">
        <is>
          <t>jeremy harris</t>
        </is>
      </c>
      <c r="C7" s="3" t="n">
        <v>59</v>
      </c>
      <c r="D7" s="3" t="inlineStr">
        <is>
          <t>Female</t>
        </is>
      </c>
      <c r="E7" s="3" t="inlineStr">
        <is>
          <t>Thomastown</t>
        </is>
      </c>
      <c r="F7" s="3" t="inlineStr">
        <is>
          <t>Ohio</t>
        </is>
      </c>
      <c r="G7" s="3" t="inlineStr">
        <is>
          <t>USA</t>
        </is>
      </c>
      <c r="H7" s="3" t="inlineStr">
        <is>
          <t>Bronze</t>
        </is>
      </c>
    </row>
    <row r="8">
      <c r="A8" s="5" t="inlineStr">
        <is>
          <t>CUST1004</t>
        </is>
      </c>
      <c r="B8" s="5" t="inlineStr">
        <is>
          <t>Caroline Collins</t>
        </is>
      </c>
      <c r="C8" s="5" t="n">
        <v>64</v>
      </c>
      <c r="D8" s="5" t="inlineStr">
        <is>
          <t>Female</t>
        </is>
      </c>
      <c r="E8" s="5" t="inlineStr">
        <is>
          <t>Nicholasshire</t>
        </is>
      </c>
      <c r="F8" s="5" t="inlineStr">
        <is>
          <t>California</t>
        </is>
      </c>
      <c r="G8" s="5" t="inlineStr">
        <is>
          <t>USA</t>
        </is>
      </c>
      <c r="H8" s="5" t="inlineStr">
        <is>
          <t>Silver</t>
        </is>
      </c>
    </row>
    <row r="9">
      <c r="A9" s="4" t="inlineStr">
        <is>
          <t>CUST1005</t>
        </is>
      </c>
      <c r="B9" s="4" t="inlineStr">
        <is>
          <t>Christine Vaughn</t>
        </is>
      </c>
      <c r="C9" s="4" t="n">
        <v>24</v>
      </c>
      <c r="D9" s="4" t="inlineStr">
        <is>
          <t>Male</t>
        </is>
      </c>
      <c r="E9" s="4" t="inlineStr">
        <is>
          <t>East Amandamouth</t>
        </is>
      </c>
      <c r="F9" s="4" t="inlineStr">
        <is>
          <t>Oregon</t>
        </is>
      </c>
      <c r="G9" s="4" t="inlineStr">
        <is>
          <t>USA</t>
        </is>
      </c>
      <c r="H9" s="4" t="inlineStr">
        <is>
          <t>Bronze</t>
        </is>
      </c>
    </row>
    <row r="10">
      <c r="A10" s="5" t="inlineStr">
        <is>
          <t>CUST1006</t>
        </is>
      </c>
      <c r="B10" s="5" t="inlineStr">
        <is>
          <t>Amber Jackson</t>
        </is>
      </c>
      <c r="C10" s="5" t="n">
        <v>29</v>
      </c>
      <c r="D10" s="5" t="inlineStr">
        <is>
          <t>Female</t>
        </is>
      </c>
      <c r="E10" s="5" t="inlineStr">
        <is>
          <t>Deborahborough</t>
        </is>
      </c>
      <c r="F10" s="5" t="inlineStr">
        <is>
          <t>South Dakota</t>
        </is>
      </c>
      <c r="G10" s="5" t="inlineStr">
        <is>
          <t>USA</t>
        </is>
      </c>
      <c r="H10" s="5" t="inlineStr">
        <is>
          <t>Platinum</t>
        </is>
      </c>
    </row>
    <row r="11">
      <c r="A11" s="4" t="inlineStr">
        <is>
          <t>CUST1007</t>
        </is>
      </c>
      <c r="B11" s="4" t="inlineStr">
        <is>
          <t>Daniel Boyd</t>
        </is>
      </c>
      <c r="C11" s="4" t="n">
        <v>29</v>
      </c>
      <c r="D11" s="4" t="inlineStr">
        <is>
          <t>Female</t>
        </is>
      </c>
      <c r="E11" s="4" t="inlineStr">
        <is>
          <t>West Pamelafurt</t>
        </is>
      </c>
      <c r="F11" s="4" t="inlineStr">
        <is>
          <t>West Virginia</t>
        </is>
      </c>
      <c r="G11" s="4" t="inlineStr">
        <is>
          <t>USA</t>
        </is>
      </c>
      <c r="H11" s="4" t="inlineStr">
        <is>
          <t>Bronze</t>
        </is>
      </c>
    </row>
    <row r="12">
      <c r="A12" s="5" t="inlineStr">
        <is>
          <t>CUST1008</t>
        </is>
      </c>
      <c r="B12" s="5" t="inlineStr">
        <is>
          <t>Melissa Howard</t>
        </is>
      </c>
      <c r="C12" s="5" t="n">
        <v>53</v>
      </c>
      <c r="D12" s="5" t="inlineStr">
        <is>
          <t>Female</t>
        </is>
      </c>
      <c r="E12" s="5" t="inlineStr">
        <is>
          <t>Maynardton</t>
        </is>
      </c>
      <c r="F12" s="5" t="inlineStr">
        <is>
          <t>New Hampshire</t>
        </is>
      </c>
      <c r="G12" s="5" t="inlineStr">
        <is>
          <t>USA</t>
        </is>
      </c>
      <c r="H12" s="5" t="inlineStr">
        <is>
          <t>Gold</t>
        </is>
      </c>
    </row>
    <row r="13">
      <c r="A13" s="3" t="inlineStr">
        <is>
          <t>CUST1009</t>
        </is>
      </c>
      <c r="B13" s="3" t="inlineStr">
        <is>
          <t>Ms. Maria Leach</t>
        </is>
      </c>
      <c r="C13" s="3" t="n">
        <v>64</v>
      </c>
      <c r="D13" s="3" t="inlineStr">
        <is>
          <t>Male</t>
        </is>
      </c>
      <c r="E13" s="3" t="inlineStr">
        <is>
          <t>Melissashire</t>
        </is>
      </c>
      <c r="F13" s="3" t="inlineStr">
        <is>
          <t>Pennsylvania</t>
        </is>
      </c>
      <c r="G13" s="3" t="inlineStr">
        <is>
          <t>USA</t>
        </is>
      </c>
      <c r="H13" s="3" t="inlineStr">
        <is>
          <t>Platinum</t>
        </is>
      </c>
    </row>
    <row r="14">
      <c r="A14" s="5" t="inlineStr">
        <is>
          <t>CUST1010</t>
        </is>
      </c>
      <c r="B14" s="5" t="inlineStr">
        <is>
          <t>Dominic Page</t>
        </is>
      </c>
      <c r="C14" s="5" t="n">
        <v>53</v>
      </c>
      <c r="D14" s="5" t="inlineStr">
        <is>
          <t>Male</t>
        </is>
      </c>
      <c r="E14" s="5" t="inlineStr">
        <is>
          <t>Port Michaelburgh</t>
        </is>
      </c>
      <c r="F14" s="5" t="inlineStr">
        <is>
          <t>Pennsylvania</t>
        </is>
      </c>
      <c r="G14" s="5" t="inlineStr">
        <is>
          <t>USA</t>
        </is>
      </c>
      <c r="H14" s="5" t="inlineStr">
        <is>
          <t>Bronze</t>
        </is>
      </c>
    </row>
    <row r="15">
      <c r="A15" s="4" t="inlineStr">
        <is>
          <t>CUST1011</t>
        </is>
      </c>
      <c r="B15" s="4" t="inlineStr">
        <is>
          <t>Brian Lopez</t>
        </is>
      </c>
      <c r="C15" s="4" t="n">
        <v>28</v>
      </c>
      <c r="D15" s="4" t="inlineStr">
        <is>
          <t>Female</t>
        </is>
      </c>
      <c r="E15" s="4" t="inlineStr">
        <is>
          <t>East Krista</t>
        </is>
      </c>
      <c r="F15" s="4" t="inlineStr">
        <is>
          <t>New York</t>
        </is>
      </c>
      <c r="G15" s="4" t="inlineStr">
        <is>
          <t>USA</t>
        </is>
      </c>
      <c r="H15" s="4" t="inlineStr">
        <is>
          <t>Gold</t>
        </is>
      </c>
    </row>
    <row r="16">
      <c r="A16" s="5" t="inlineStr">
        <is>
          <t>CUST1012</t>
        </is>
      </c>
      <c r="B16" s="5" t="inlineStr">
        <is>
          <t>Kenneth Lambert</t>
        </is>
      </c>
      <c r="C16" s="5" t="n">
        <v>55</v>
      </c>
      <c r="D16" s="5" t="inlineStr">
        <is>
          <t>Female</t>
        </is>
      </c>
      <c r="E16" s="5" t="inlineStr">
        <is>
          <t>North Kathryn</t>
        </is>
      </c>
      <c r="F16" s="5" t="inlineStr">
        <is>
          <t>Kansas</t>
        </is>
      </c>
      <c r="G16" s="5" t="inlineStr">
        <is>
          <t>USA</t>
        </is>
      </c>
      <c r="H16" s="5" t="inlineStr">
        <is>
          <t>Platinum</t>
        </is>
      </c>
    </row>
    <row r="17">
      <c r="A17" s="4" t="inlineStr">
        <is>
          <t>CUST1013</t>
        </is>
      </c>
      <c r="B17" s="4" t="inlineStr">
        <is>
          <t>Nathan Hernandez</t>
        </is>
      </c>
      <c r="C17" s="4" t="n">
        <v>32</v>
      </c>
      <c r="D17" s="4" t="inlineStr">
        <is>
          <t>Female</t>
        </is>
      </c>
      <c r="E17" s="4" t="inlineStr">
        <is>
          <t>New Becky</t>
        </is>
      </c>
      <c r="F17" s="4" t="inlineStr">
        <is>
          <t>Montana</t>
        </is>
      </c>
      <c r="G17" s="4" t="inlineStr">
        <is>
          <t>USA</t>
        </is>
      </c>
      <c r="H17" s="4" t="inlineStr">
        <is>
          <t>Silver</t>
        </is>
      </c>
    </row>
    <row r="18">
      <c r="A18" s="5" t="inlineStr">
        <is>
          <t>CUST1014</t>
        </is>
      </c>
      <c r="B18" s="5" t="inlineStr">
        <is>
          <t>Ashley Cohen</t>
        </is>
      </c>
      <c r="C18" s="5" t="n">
        <v>53</v>
      </c>
      <c r="D18" s="5" t="inlineStr">
        <is>
          <t>Female</t>
        </is>
      </c>
      <c r="E18" s="5" t="inlineStr">
        <is>
          <t>Lake Kristamouth</t>
        </is>
      </c>
      <c r="F18" s="5" t="inlineStr">
        <is>
          <t>Nebraska</t>
        </is>
      </c>
      <c r="G18" s="5" t="inlineStr">
        <is>
          <t>USA</t>
        </is>
      </c>
      <c r="H18" s="5" t="inlineStr">
        <is>
          <t>Silver</t>
        </is>
      </c>
    </row>
    <row r="19">
      <c r="A19" s="4" t="inlineStr">
        <is>
          <t>CUST1015</t>
        </is>
      </c>
      <c r="B19" s="4" t="inlineStr">
        <is>
          <t>Laura Alvarez</t>
        </is>
      </c>
      <c r="C19" s="4" t="n">
        <v>49</v>
      </c>
      <c r="D19" s="4" t="inlineStr">
        <is>
          <t>Female</t>
        </is>
      </c>
      <c r="E19" s="4" t="inlineStr">
        <is>
          <t>Lawsonhaven</t>
        </is>
      </c>
      <c r="F19" s="4" t="inlineStr">
        <is>
          <t>Washington</t>
        </is>
      </c>
      <c r="G19" s="4" t="inlineStr">
        <is>
          <t>USA</t>
        </is>
      </c>
      <c r="H19" s="4" t="inlineStr">
        <is>
          <t>Platinum</t>
        </is>
      </c>
    </row>
    <row r="20">
      <c r="A20" s="5" t="inlineStr">
        <is>
          <t>CUST1016</t>
        </is>
      </c>
      <c r="B20" s="5" t="inlineStr">
        <is>
          <t>John Scott</t>
        </is>
      </c>
      <c r="C20" s="5" t="n">
        <v>24</v>
      </c>
      <c r="D20" s="5" t="inlineStr">
        <is>
          <t>Female</t>
        </is>
      </c>
      <c r="E20" s="5" t="inlineStr">
        <is>
          <t>South Christopher</t>
        </is>
      </c>
      <c r="F20" s="5" t="inlineStr">
        <is>
          <t>Pennsylvania</t>
        </is>
      </c>
      <c r="G20" s="5" t="inlineStr">
        <is>
          <t>USA</t>
        </is>
      </c>
      <c r="H20" s="5" t="inlineStr">
        <is>
          <t>Bronze</t>
        </is>
      </c>
    </row>
    <row r="21">
      <c r="A21" s="4" t="inlineStr">
        <is>
          <t>CUST1017</t>
        </is>
      </c>
      <c r="B21" s="4" t="inlineStr">
        <is>
          <t>Adam Cruz</t>
        </is>
      </c>
      <c r="C21" s="4" t="n">
        <v>60</v>
      </c>
      <c r="D21" s="4" t="inlineStr">
        <is>
          <t>Female</t>
        </is>
      </c>
      <c r="E21" s="4" t="inlineStr">
        <is>
          <t>Brandonville</t>
        </is>
      </c>
      <c r="F21" s="4" t="inlineStr">
        <is>
          <t>Georgia</t>
        </is>
      </c>
      <c r="G21" s="4" t="inlineStr">
        <is>
          <t>USA</t>
        </is>
      </c>
      <c r="H21" s="4" t="inlineStr">
        <is>
          <t>Platinum</t>
        </is>
      </c>
    </row>
    <row r="22">
      <c r="A22" s="3" t="inlineStr">
        <is>
          <t>CUST1018</t>
        </is>
      </c>
      <c r="B22" s="3" t="inlineStr">
        <is>
          <t>Rhonda Moss</t>
        </is>
      </c>
      <c r="C22" s="3" t="n">
        <v>43</v>
      </c>
      <c r="D22" s="3" t="inlineStr">
        <is>
          <t>Male</t>
        </is>
      </c>
      <c r="E22" s="3" t="inlineStr">
        <is>
          <t>South William</t>
        </is>
      </c>
      <c r="F22" s="3" t="inlineStr">
        <is>
          <t>Kansas</t>
        </is>
      </c>
      <c r="G22" s="3" t="inlineStr">
        <is>
          <t>USA</t>
        </is>
      </c>
      <c r="H22" s="3" t="n"/>
    </row>
    <row r="23">
      <c r="A23" s="4" t="inlineStr">
        <is>
          <t>CUST1019</t>
        </is>
      </c>
      <c r="B23" s="4" t="inlineStr">
        <is>
          <t>Michael Torres</t>
        </is>
      </c>
      <c r="C23" s="4" t="n">
        <v>46</v>
      </c>
      <c r="D23" s="4" t="inlineStr">
        <is>
          <t>Female</t>
        </is>
      </c>
      <c r="E23" s="4" t="inlineStr">
        <is>
          <t>Gonzalezfort</t>
        </is>
      </c>
      <c r="F23" s="4" t="inlineStr">
        <is>
          <t>New Jersey</t>
        </is>
      </c>
      <c r="G23" s="4" t="inlineStr">
        <is>
          <t>USA</t>
        </is>
      </c>
      <c r="H23" s="4" t="inlineStr">
        <is>
          <t>Platinum</t>
        </is>
      </c>
    </row>
    <row r="24">
      <c r="A24" s="5" t="inlineStr">
        <is>
          <t>CUST1020</t>
        </is>
      </c>
      <c r="B24" s="5" t="inlineStr">
        <is>
          <t>Bridget Allen</t>
        </is>
      </c>
      <c r="C24" s="5" t="n">
        <v>59</v>
      </c>
      <c r="D24" s="5" t="inlineStr">
        <is>
          <t>Male</t>
        </is>
      </c>
      <c r="E24" s="5" t="inlineStr">
        <is>
          <t>Lake Shaneburgh</t>
        </is>
      </c>
      <c r="F24" s="5" t="inlineStr">
        <is>
          <t>Delaware</t>
        </is>
      </c>
      <c r="G24" s="5" t="inlineStr">
        <is>
          <t>USA</t>
        </is>
      </c>
      <c r="H24" s="5" t="inlineStr">
        <is>
          <t>Silver</t>
        </is>
      </c>
    </row>
    <row r="25">
      <c r="A25" s="4" t="inlineStr">
        <is>
          <t>CUST1021</t>
        </is>
      </c>
      <c r="B25" s="4" t="inlineStr">
        <is>
          <t>Jeff Martinez</t>
        </is>
      </c>
      <c r="C25" s="4" t="n">
        <v>36</v>
      </c>
      <c r="D25" s="4" t="inlineStr">
        <is>
          <t>Female</t>
        </is>
      </c>
      <c r="E25" s="4" t="inlineStr">
        <is>
          <t>Smithburgh</t>
        </is>
      </c>
      <c r="F25" s="4" t="inlineStr">
        <is>
          <t>Oklahoma</t>
        </is>
      </c>
      <c r="G25" s="4" t="inlineStr">
        <is>
          <t>USA</t>
        </is>
      </c>
      <c r="H25" s="4" t="inlineStr">
        <is>
          <t>Gold</t>
        </is>
      </c>
    </row>
    <row r="26">
      <c r="A26" s="3" t="inlineStr">
        <is>
          <t>CUST1022</t>
        </is>
      </c>
      <c r="B26" s="3" t="inlineStr">
        <is>
          <t xml:space="preserve">   paul fox</t>
        </is>
      </c>
      <c r="C26" s="3" t="n">
        <v>33</v>
      </c>
      <c r="D26" s="3" t="inlineStr">
        <is>
          <t>Female</t>
        </is>
      </c>
      <c r="E26" s="3" t="inlineStr">
        <is>
          <t>Michaelton</t>
        </is>
      </c>
      <c r="F26" s="3" t="inlineStr">
        <is>
          <t>Hawaii</t>
        </is>
      </c>
      <c r="G26" s="3" t="inlineStr">
        <is>
          <t>USA</t>
        </is>
      </c>
      <c r="H26" s="3" t="inlineStr">
        <is>
          <t>Silver</t>
        </is>
      </c>
    </row>
    <row r="27">
      <c r="A27" s="4" t="inlineStr">
        <is>
          <t>CUST1023</t>
        </is>
      </c>
      <c r="B27" s="4" t="inlineStr">
        <is>
          <t>Jonathan Steele</t>
        </is>
      </c>
      <c r="C27" s="4" t="n">
        <v>52</v>
      </c>
      <c r="D27" s="4" t="inlineStr">
        <is>
          <t>Female</t>
        </is>
      </c>
      <c r="E27" s="4" t="inlineStr">
        <is>
          <t>Molinabury</t>
        </is>
      </c>
      <c r="F27" s="4" t="inlineStr">
        <is>
          <t>Oregon</t>
        </is>
      </c>
      <c r="G27" s="4" t="inlineStr">
        <is>
          <t>USA</t>
        </is>
      </c>
      <c r="H27" s="4" t="inlineStr">
        <is>
          <t>Silver</t>
        </is>
      </c>
    </row>
    <row r="28">
      <c r="A28" s="5" t="inlineStr">
        <is>
          <t>CUST1024</t>
        </is>
      </c>
      <c r="B28" s="5" t="inlineStr">
        <is>
          <t>Heather Collins</t>
        </is>
      </c>
      <c r="C28" s="5" t="n">
        <v>40</v>
      </c>
      <c r="D28" s="5" t="inlineStr">
        <is>
          <t>Male</t>
        </is>
      </c>
      <c r="E28" s="5" t="inlineStr">
        <is>
          <t>Rogerschester</t>
        </is>
      </c>
      <c r="F28" s="5" t="inlineStr">
        <is>
          <t>Idaho</t>
        </is>
      </c>
      <c r="G28" s="5" t="inlineStr">
        <is>
          <t>USA</t>
        </is>
      </c>
      <c r="H28" s="5" t="inlineStr">
        <is>
          <t>Platinum</t>
        </is>
      </c>
    </row>
    <row r="29">
      <c r="A29" s="4" t="inlineStr">
        <is>
          <t>CUST1025</t>
        </is>
      </c>
      <c r="B29" s="4" t="inlineStr">
        <is>
          <t>Diana Taylor</t>
        </is>
      </c>
      <c r="C29" s="4" t="n">
        <v>59</v>
      </c>
      <c r="D29" s="4" t="inlineStr">
        <is>
          <t>Female</t>
        </is>
      </c>
      <c r="E29" s="4" t="inlineStr">
        <is>
          <t>Vasqueztown</t>
        </is>
      </c>
      <c r="F29" s="4" t="inlineStr">
        <is>
          <t>California</t>
        </is>
      </c>
      <c r="G29" s="4" t="inlineStr">
        <is>
          <t>USA</t>
        </is>
      </c>
      <c r="H29" s="4" t="inlineStr">
        <is>
          <t>Bronze</t>
        </is>
      </c>
    </row>
    <row r="30">
      <c r="A30" s="5" t="inlineStr">
        <is>
          <t>CUST1026</t>
        </is>
      </c>
      <c r="B30" s="5" t="inlineStr">
        <is>
          <t>Amber Carlson</t>
        </is>
      </c>
      <c r="C30" s="5" t="n">
        <v>18</v>
      </c>
      <c r="D30" s="5" t="inlineStr">
        <is>
          <t>Female</t>
        </is>
      </c>
      <c r="E30" s="5" t="inlineStr">
        <is>
          <t>East Michellemouth</t>
        </is>
      </c>
      <c r="F30" s="5" t="inlineStr">
        <is>
          <t>Missouri</t>
        </is>
      </c>
      <c r="G30" s="5" t="inlineStr">
        <is>
          <t>USA</t>
        </is>
      </c>
      <c r="H30" s="5" t="inlineStr">
        <is>
          <t>Gold</t>
        </is>
      </c>
    </row>
    <row r="31">
      <c r="A31" s="3" t="inlineStr">
        <is>
          <t>CUST1027</t>
        </is>
      </c>
      <c r="B31" s="3" t="inlineStr">
        <is>
          <t>Leslie Johnson</t>
        </is>
      </c>
      <c r="C31" s="3" t="n">
        <v>31</v>
      </c>
      <c r="D31" s="3" t="inlineStr">
        <is>
          <t>Male</t>
        </is>
      </c>
      <c r="E31" s="3" t="inlineStr">
        <is>
          <t>Mollyshire</t>
        </is>
      </c>
      <c r="F31" s="3" t="inlineStr">
        <is>
          <t>Utah</t>
        </is>
      </c>
      <c r="G31" s="3" t="inlineStr">
        <is>
          <t>USA</t>
        </is>
      </c>
      <c r="H31" s="3" t="n"/>
    </row>
    <row r="32">
      <c r="A32" s="5" t="inlineStr">
        <is>
          <t>CUST1028</t>
        </is>
      </c>
      <c r="B32" s="5" t="inlineStr">
        <is>
          <t>Joshua Ryan</t>
        </is>
      </c>
      <c r="C32" s="5" t="n">
        <v>27</v>
      </c>
      <c r="D32" s="5" t="inlineStr">
        <is>
          <t>Female</t>
        </is>
      </c>
      <c r="E32" s="5" t="inlineStr">
        <is>
          <t>New David</t>
        </is>
      </c>
      <c r="F32" s="5" t="inlineStr">
        <is>
          <t>New Jersey</t>
        </is>
      </c>
      <c r="G32" s="5" t="inlineStr">
        <is>
          <t>USA</t>
        </is>
      </c>
      <c r="H32" s="5" t="inlineStr">
        <is>
          <t>Platinum</t>
        </is>
      </c>
    </row>
    <row r="33">
      <c r="A33" s="4" t="inlineStr">
        <is>
          <t>CUST1029</t>
        </is>
      </c>
      <c r="B33" s="4" t="inlineStr">
        <is>
          <t>David Arnold</t>
        </is>
      </c>
      <c r="C33" s="4" t="n">
        <v>54</v>
      </c>
      <c r="D33" s="4" t="inlineStr">
        <is>
          <t>Female</t>
        </is>
      </c>
      <c r="E33" s="4" t="inlineStr">
        <is>
          <t>East Jennifer</t>
        </is>
      </c>
      <c r="F33" s="4" t="inlineStr">
        <is>
          <t>California</t>
        </is>
      </c>
      <c r="G33" s="4" t="inlineStr">
        <is>
          <t>USA</t>
        </is>
      </c>
      <c r="H33" s="4" t="inlineStr">
        <is>
          <t>Silver</t>
        </is>
      </c>
    </row>
    <row r="34">
      <c r="A34" s="5" t="inlineStr">
        <is>
          <t>CUST1030</t>
        </is>
      </c>
      <c r="B34" s="5" t="inlineStr">
        <is>
          <t>Jessica Acevedo</t>
        </is>
      </c>
      <c r="C34" s="5" t="n">
        <v>64</v>
      </c>
      <c r="D34" s="5" t="inlineStr">
        <is>
          <t>Female</t>
        </is>
      </c>
      <c r="E34" s="5" t="inlineStr">
        <is>
          <t>Amybury</t>
        </is>
      </c>
      <c r="F34" s="5" t="inlineStr">
        <is>
          <t>Pennsylvania</t>
        </is>
      </c>
      <c r="G34" s="5" t="inlineStr">
        <is>
          <t>USA</t>
        </is>
      </c>
      <c r="H34" s="5" t="inlineStr">
        <is>
          <t>Bronze</t>
        </is>
      </c>
    </row>
    <row r="35">
      <c r="A35" s="4" t="inlineStr">
        <is>
          <t>CUST1031</t>
        </is>
      </c>
      <c r="B35" s="4" t="inlineStr">
        <is>
          <t>Sarah Vance</t>
        </is>
      </c>
      <c r="C35" s="4" t="n">
        <v>41</v>
      </c>
      <c r="D35" s="4" t="inlineStr">
        <is>
          <t>Male</t>
        </is>
      </c>
      <c r="E35" s="4" t="inlineStr">
        <is>
          <t>Johnsonville</t>
        </is>
      </c>
      <c r="F35" s="4" t="inlineStr">
        <is>
          <t>Oregon</t>
        </is>
      </c>
      <c r="G35" s="4" t="inlineStr">
        <is>
          <t>USA</t>
        </is>
      </c>
      <c r="H35" s="4" t="inlineStr">
        <is>
          <t>Silver</t>
        </is>
      </c>
    </row>
    <row r="36">
      <c r="A36" s="5" t="inlineStr">
        <is>
          <t>CUST1032</t>
        </is>
      </c>
      <c r="B36" s="5" t="inlineStr">
        <is>
          <t>Mike Jennings</t>
        </is>
      </c>
      <c r="C36" s="5" t="n">
        <v>48</v>
      </c>
      <c r="D36" s="5" t="inlineStr">
        <is>
          <t>Female</t>
        </is>
      </c>
      <c r="E36" s="5" t="inlineStr">
        <is>
          <t>Fostermouth</t>
        </is>
      </c>
      <c r="F36" s="5" t="inlineStr">
        <is>
          <t>Arizona</t>
        </is>
      </c>
      <c r="G36" s="5" t="inlineStr">
        <is>
          <t>USA</t>
        </is>
      </c>
      <c r="H36" s="5" t="inlineStr">
        <is>
          <t>Gold</t>
        </is>
      </c>
    </row>
    <row r="37">
      <c r="A37" s="3" t="inlineStr">
        <is>
          <t>CUST1033</t>
        </is>
      </c>
      <c r="B37" s="3" t="inlineStr">
        <is>
          <t>Robert Jones DDS</t>
        </is>
      </c>
      <c r="C37" s="3" t="n">
        <v>25</v>
      </c>
      <c r="D37" s="3" t="inlineStr">
        <is>
          <t>Male</t>
        </is>
      </c>
      <c r="E37" s="3" t="inlineStr">
        <is>
          <t>Tristanton</t>
        </is>
      </c>
      <c r="F37" s="3" t="inlineStr">
        <is>
          <t>Oklahoma</t>
        </is>
      </c>
      <c r="G37" s="3" t="inlineStr">
        <is>
          <t>USA</t>
        </is>
      </c>
      <c r="H37" s="3" t="inlineStr">
        <is>
          <t>Platinum</t>
        </is>
      </c>
    </row>
    <row r="38">
      <c r="A38" s="5" t="inlineStr">
        <is>
          <t>CUST1034</t>
        </is>
      </c>
      <c r="B38" s="5" t="inlineStr">
        <is>
          <t>Christopher Olson</t>
        </is>
      </c>
      <c r="C38" s="5" t="n">
        <v>27</v>
      </c>
      <c r="D38" s="5" t="inlineStr">
        <is>
          <t>Female</t>
        </is>
      </c>
      <c r="E38" s="5" t="inlineStr">
        <is>
          <t>West Richard</t>
        </is>
      </c>
      <c r="F38" s="5" t="inlineStr">
        <is>
          <t>Maryland</t>
        </is>
      </c>
      <c r="G38" s="5" t="inlineStr">
        <is>
          <t>USA</t>
        </is>
      </c>
      <c r="H38" s="5" t="inlineStr">
        <is>
          <t>Platinum</t>
        </is>
      </c>
    </row>
    <row r="39">
      <c r="A39" s="4" t="inlineStr">
        <is>
          <t>CUST1035</t>
        </is>
      </c>
      <c r="B39" s="4" t="inlineStr">
        <is>
          <t>Rachel Myers</t>
        </is>
      </c>
      <c r="C39" s="4" t="n">
        <v>52</v>
      </c>
      <c r="D39" s="4" t="inlineStr">
        <is>
          <t>Male</t>
        </is>
      </c>
      <c r="E39" s="4" t="inlineStr">
        <is>
          <t>Robertberg</t>
        </is>
      </c>
      <c r="F39" s="4" t="inlineStr">
        <is>
          <t>North Dakota</t>
        </is>
      </c>
      <c r="G39" s="4" t="inlineStr">
        <is>
          <t>USA</t>
        </is>
      </c>
      <c r="H39" s="4" t="inlineStr">
        <is>
          <t>Silver</t>
        </is>
      </c>
    </row>
    <row r="40">
      <c r="A40" s="5" t="inlineStr">
        <is>
          <t>CUST1036</t>
        </is>
      </c>
      <c r="B40" s="5" t="inlineStr">
        <is>
          <t>Thomas Phillips</t>
        </is>
      </c>
      <c r="C40" s="5" t="n">
        <v>20</v>
      </c>
      <c r="D40" s="5" t="inlineStr">
        <is>
          <t>Female</t>
        </is>
      </c>
      <c r="E40" s="5" t="inlineStr">
        <is>
          <t>Luisfurt</t>
        </is>
      </c>
      <c r="F40" s="5" t="inlineStr">
        <is>
          <t>Georgia</t>
        </is>
      </c>
      <c r="G40" s="5" t="inlineStr">
        <is>
          <t>USA</t>
        </is>
      </c>
      <c r="H40" s="5" t="inlineStr">
        <is>
          <t>Gold</t>
        </is>
      </c>
    </row>
    <row r="41">
      <c r="A41" s="3" t="inlineStr">
        <is>
          <t>CUST1037</t>
        </is>
      </c>
      <c r="B41" s="3" t="inlineStr">
        <is>
          <t>Christopher Carter</t>
        </is>
      </c>
      <c r="C41" s="3" t="n">
        <v>27</v>
      </c>
      <c r="D41" s="3" t="inlineStr">
        <is>
          <t>Female</t>
        </is>
      </c>
      <c r="E41" s="3" t="inlineStr">
        <is>
          <t>Brendastad</t>
        </is>
      </c>
      <c r="F41" s="3" t="inlineStr">
        <is>
          <t>South Dakota</t>
        </is>
      </c>
      <c r="G41" s="3" t="inlineStr">
        <is>
          <t>USA</t>
        </is>
      </c>
      <c r="H41" s="3" t="n"/>
    </row>
    <row r="42">
      <c r="A42" s="5" t="inlineStr">
        <is>
          <t>CUST1038</t>
        </is>
      </c>
      <c r="B42" s="5" t="inlineStr">
        <is>
          <t>Deanna Simpson</t>
        </is>
      </c>
      <c r="C42" s="5" t="n">
        <v>35</v>
      </c>
      <c r="D42" s="5" t="inlineStr">
        <is>
          <t>Female</t>
        </is>
      </c>
      <c r="E42" s="5" t="inlineStr">
        <is>
          <t>Brownport</t>
        </is>
      </c>
      <c r="F42" s="5" t="inlineStr">
        <is>
          <t>North Dakota</t>
        </is>
      </c>
      <c r="G42" s="5" t="inlineStr">
        <is>
          <t>USA</t>
        </is>
      </c>
      <c r="H42" s="5" t="inlineStr">
        <is>
          <t>Bronze</t>
        </is>
      </c>
    </row>
    <row r="43">
      <c r="A43" s="4" t="inlineStr">
        <is>
          <t>CUST1039</t>
        </is>
      </c>
      <c r="B43" s="4" t="inlineStr">
        <is>
          <t>Tonya Reynolds</t>
        </is>
      </c>
      <c r="C43" s="4" t="n">
        <v>55</v>
      </c>
      <c r="D43" s="4" t="inlineStr">
        <is>
          <t>Female</t>
        </is>
      </c>
      <c r="E43" s="4" t="inlineStr">
        <is>
          <t>Darleneton</t>
        </is>
      </c>
      <c r="F43" s="4" t="inlineStr">
        <is>
          <t>Michigan</t>
        </is>
      </c>
      <c r="G43" s="4" t="inlineStr">
        <is>
          <t>USA</t>
        </is>
      </c>
      <c r="H43" s="4" t="inlineStr">
        <is>
          <t>Gold</t>
        </is>
      </c>
    </row>
    <row r="44">
      <c r="A44" s="5" t="inlineStr">
        <is>
          <t>CUST1040</t>
        </is>
      </c>
      <c r="B44" s="5" t="inlineStr">
        <is>
          <t>Eric Vega</t>
        </is>
      </c>
      <c r="C44" s="5" t="n">
        <v>50</v>
      </c>
      <c r="D44" s="5" t="inlineStr">
        <is>
          <t>Male</t>
        </is>
      </c>
      <c r="E44" s="5" t="inlineStr">
        <is>
          <t>Williamsonland</t>
        </is>
      </c>
      <c r="F44" s="5" t="inlineStr">
        <is>
          <t>Kansas</t>
        </is>
      </c>
      <c r="G44" s="5" t="inlineStr">
        <is>
          <t>USA</t>
        </is>
      </c>
      <c r="H44" s="5" t="inlineStr">
        <is>
          <t>Gold</t>
        </is>
      </c>
    </row>
    <row r="45">
      <c r="A45" s="4" t="inlineStr">
        <is>
          <t>CUST1041</t>
        </is>
      </c>
      <c r="B45" s="4" t="inlineStr">
        <is>
          <t>James Gibbs</t>
        </is>
      </c>
      <c r="C45" s="4" t="n">
        <v>21</v>
      </c>
      <c r="D45" s="4" t="inlineStr">
        <is>
          <t>Male</t>
        </is>
      </c>
      <c r="E45" s="4" t="inlineStr">
        <is>
          <t>Mooneyshire</t>
        </is>
      </c>
      <c r="F45" s="4" t="inlineStr">
        <is>
          <t>Alaska</t>
        </is>
      </c>
      <c r="G45" s="4" t="inlineStr">
        <is>
          <t>USA</t>
        </is>
      </c>
      <c r="H45" s="4" t="inlineStr">
        <is>
          <t>Platinum</t>
        </is>
      </c>
    </row>
    <row r="46">
      <c r="A46" s="5" t="inlineStr">
        <is>
          <t>CUST1042</t>
        </is>
      </c>
      <c r="B46" s="5" t="inlineStr">
        <is>
          <t>William Martin</t>
        </is>
      </c>
      <c r="C46" s="5" t="n">
        <v>19</v>
      </c>
      <c r="D46" s="5" t="inlineStr">
        <is>
          <t>Male</t>
        </is>
      </c>
      <c r="E46" s="5" t="inlineStr">
        <is>
          <t>Ryanburgh</t>
        </is>
      </c>
      <c r="F46" s="5" t="inlineStr">
        <is>
          <t>Connecticut</t>
        </is>
      </c>
      <c r="G46" s="5" t="inlineStr">
        <is>
          <t>USA</t>
        </is>
      </c>
      <c r="H46" s="5" t="inlineStr">
        <is>
          <t>Platinum</t>
        </is>
      </c>
    </row>
    <row r="47">
      <c r="A47" s="4" t="inlineStr">
        <is>
          <t>CUST1043</t>
        </is>
      </c>
      <c r="B47" s="4" t="inlineStr">
        <is>
          <t>Joseph Snow</t>
        </is>
      </c>
      <c r="C47" s="4" t="n">
        <v>45</v>
      </c>
      <c r="D47" s="4" t="inlineStr">
        <is>
          <t>Male</t>
        </is>
      </c>
      <c r="E47" s="4" t="inlineStr">
        <is>
          <t>South Michaelfort</t>
        </is>
      </c>
      <c r="F47" s="4" t="inlineStr">
        <is>
          <t>Vermont</t>
        </is>
      </c>
      <c r="G47" s="4" t="inlineStr">
        <is>
          <t>USA</t>
        </is>
      </c>
      <c r="H47" s="4" t="inlineStr">
        <is>
          <t>Gold</t>
        </is>
      </c>
    </row>
    <row r="48">
      <c r="A48" s="5" t="inlineStr">
        <is>
          <t>CUST1044</t>
        </is>
      </c>
      <c r="B48" s="5" t="inlineStr">
        <is>
          <t>Denise Williams</t>
        </is>
      </c>
      <c r="C48" s="5" t="n">
        <v>34</v>
      </c>
      <c r="D48" s="5" t="inlineStr">
        <is>
          <t>Male</t>
        </is>
      </c>
      <c r="E48" s="5" t="inlineStr">
        <is>
          <t>Christianstad</t>
        </is>
      </c>
      <c r="F48" s="5" t="inlineStr">
        <is>
          <t>Hawaii</t>
        </is>
      </c>
      <c r="G48" s="5" t="inlineStr">
        <is>
          <t>USA</t>
        </is>
      </c>
      <c r="H48" s="5" t="inlineStr">
        <is>
          <t>Bronze</t>
        </is>
      </c>
    </row>
    <row r="49">
      <c r="A49" s="4" t="inlineStr">
        <is>
          <t>CUST1045</t>
        </is>
      </c>
      <c r="B49" s="4" t="inlineStr">
        <is>
          <t>Jordan Jackson DDS</t>
        </is>
      </c>
      <c r="C49" s="4" t="n">
        <v>54</v>
      </c>
      <c r="D49" s="4" t="inlineStr">
        <is>
          <t>Male</t>
        </is>
      </c>
      <c r="E49" s="4" t="inlineStr">
        <is>
          <t>North Johnview</t>
        </is>
      </c>
      <c r="F49" s="4" t="inlineStr">
        <is>
          <t>Arizona</t>
        </is>
      </c>
      <c r="G49" s="4" t="inlineStr">
        <is>
          <t>USA</t>
        </is>
      </c>
      <c r="H49" s="4" t="inlineStr">
        <is>
          <t>Gold</t>
        </is>
      </c>
    </row>
    <row r="50">
      <c r="A50" s="5" t="inlineStr">
        <is>
          <t>CUST1046</t>
        </is>
      </c>
      <c r="B50" s="5" t="inlineStr">
        <is>
          <t>Michelle Garcia DDS</t>
        </is>
      </c>
      <c r="C50" s="5" t="n">
        <v>55</v>
      </c>
      <c r="D50" s="5" t="inlineStr">
        <is>
          <t>Female</t>
        </is>
      </c>
      <c r="E50" s="5" t="inlineStr">
        <is>
          <t>Perezbury</t>
        </is>
      </c>
      <c r="F50" s="5" t="inlineStr">
        <is>
          <t>Ohio</t>
        </is>
      </c>
      <c r="G50" s="5" t="inlineStr">
        <is>
          <t>USA</t>
        </is>
      </c>
      <c r="H50" s="5" t="inlineStr">
        <is>
          <t>Platinum</t>
        </is>
      </c>
    </row>
    <row r="51">
      <c r="A51" s="4" t="inlineStr">
        <is>
          <t>CUST1047</t>
        </is>
      </c>
      <c r="B51" s="4" t="inlineStr">
        <is>
          <t>Gina Knight</t>
        </is>
      </c>
      <c r="C51" s="4" t="n">
        <v>54</v>
      </c>
      <c r="D51" s="4" t="inlineStr">
        <is>
          <t>Female</t>
        </is>
      </c>
      <c r="E51" s="4" t="inlineStr">
        <is>
          <t>Lake Roberthaven</t>
        </is>
      </c>
      <c r="F51" s="4" t="inlineStr">
        <is>
          <t>Nevada</t>
        </is>
      </c>
      <c r="G51" s="4" t="inlineStr">
        <is>
          <t>USA</t>
        </is>
      </c>
      <c r="H51" s="4" t="inlineStr">
        <is>
          <t>Silver</t>
        </is>
      </c>
    </row>
    <row r="52">
      <c r="A52" s="5" t="inlineStr">
        <is>
          <t>CUST1048</t>
        </is>
      </c>
      <c r="B52" s="5" t="inlineStr">
        <is>
          <t>April Mullins</t>
        </is>
      </c>
      <c r="C52" s="5" t="n">
        <v>54</v>
      </c>
      <c r="D52" s="5" t="inlineStr">
        <is>
          <t>Male</t>
        </is>
      </c>
      <c r="E52" s="5" t="inlineStr">
        <is>
          <t>Dawsonbury</t>
        </is>
      </c>
      <c r="F52" s="5" t="inlineStr">
        <is>
          <t>North Carolina</t>
        </is>
      </c>
      <c r="G52" s="5" t="inlineStr">
        <is>
          <t>USA</t>
        </is>
      </c>
      <c r="H52" s="5" t="inlineStr">
        <is>
          <t>Platinum</t>
        </is>
      </c>
    </row>
    <row r="53">
      <c r="A53" s="4" t="inlineStr">
        <is>
          <t>CUST1049</t>
        </is>
      </c>
      <c r="B53" s="4" t="inlineStr">
        <is>
          <t>Timothy Weaver</t>
        </is>
      </c>
      <c r="C53" s="4" t="n">
        <v>45</v>
      </c>
      <c r="D53" s="4" t="inlineStr">
        <is>
          <t>Female</t>
        </is>
      </c>
      <c r="E53" s="4" t="inlineStr">
        <is>
          <t>New Amy</t>
        </is>
      </c>
      <c r="F53" s="4" t="inlineStr">
        <is>
          <t>Ohio</t>
        </is>
      </c>
      <c r="G53" s="4" t="inlineStr">
        <is>
          <t>USA</t>
        </is>
      </c>
      <c r="H53" s="4" t="inlineStr">
        <is>
          <t>Gold</t>
        </is>
      </c>
    </row>
    <row r="54">
      <c r="A54" s="5" t="inlineStr">
        <is>
          <t>CUST1050</t>
        </is>
      </c>
      <c r="B54" s="5" t="inlineStr">
        <is>
          <t>Matthew Hunter Jr.</t>
        </is>
      </c>
      <c r="C54" s="5" t="n">
        <v>61</v>
      </c>
      <c r="D54" s="5" t="inlineStr">
        <is>
          <t>Female</t>
        </is>
      </c>
      <c r="E54" s="5" t="inlineStr">
        <is>
          <t>Gregoryview</t>
        </is>
      </c>
      <c r="F54" s="5" t="inlineStr">
        <is>
          <t>Illinois</t>
        </is>
      </c>
      <c r="G54" s="5" t="inlineStr">
        <is>
          <t>USA</t>
        </is>
      </c>
      <c r="H54" s="5" t="inlineStr">
        <is>
          <t>Gold</t>
        </is>
      </c>
    </row>
    <row r="56">
      <c r="A56" s="6" t="inlineStr">
        <is>
          <t>⚠ Issues found (highlighted in red):</t>
        </is>
      </c>
    </row>
    <row r="57">
      <c r="A57" s="7" t="inlineStr">
        <is>
          <t>CUST1000</t>
        </is>
      </c>
      <c r="B57" s="8" t="inlineStr">
        <is>
          <t>Missing Loyalty Level; Name has extra spaces</t>
        </is>
      </c>
    </row>
    <row r="58">
      <c r="A58" s="7" t="inlineStr">
        <is>
          <t>CUST1002</t>
        </is>
      </c>
      <c r="B58" s="8" t="inlineStr">
        <is>
          <t>Title prefix in name (dr.); wrong capitalisation</t>
        </is>
      </c>
    </row>
    <row r="59">
      <c r="A59" s="7" t="inlineStr">
        <is>
          <t>CUST1003</t>
        </is>
      </c>
      <c r="B59" s="8" t="inlineStr">
        <is>
          <t>Name not title-cased (jeremy harris)</t>
        </is>
      </c>
    </row>
    <row r="60">
      <c r="A60" s="7" t="inlineStr">
        <is>
          <t>CUST1009</t>
        </is>
      </c>
      <c r="B60" s="8" t="inlineStr">
        <is>
          <t>Title prefix (Ms.) in name</t>
        </is>
      </c>
    </row>
    <row r="61">
      <c r="A61" s="7" t="inlineStr">
        <is>
          <t>CUST1018</t>
        </is>
      </c>
      <c r="B61" s="8" t="inlineStr">
        <is>
          <t>Missing Loyalty Level</t>
        </is>
      </c>
    </row>
    <row r="62">
      <c r="A62" s="7" t="inlineStr">
        <is>
          <t>CUST1022</t>
        </is>
      </c>
      <c r="B62" s="8" t="inlineStr">
        <is>
          <t>Name has leading spaces (   paul fox)</t>
        </is>
      </c>
    </row>
    <row r="63">
      <c r="A63" s="7" t="inlineStr">
        <is>
          <t>CUST1027</t>
        </is>
      </c>
      <c r="B63" s="8" t="inlineStr">
        <is>
          <t>Missing Loyalty Level</t>
        </is>
      </c>
    </row>
    <row r="64">
      <c r="A64" s="7" t="inlineStr">
        <is>
          <t>CUST1033</t>
        </is>
      </c>
      <c r="B64" s="8" t="inlineStr">
        <is>
          <t>Professional suffix in name (DDS)</t>
        </is>
      </c>
    </row>
    <row r="65">
      <c r="A65" s="7" t="inlineStr">
        <is>
          <t>CUST1037</t>
        </is>
      </c>
      <c r="B65" s="8" t="inlineStr">
        <is>
          <t>Missing Loyalty Level</t>
        </is>
      </c>
    </row>
  </sheetData>
  <mergeCells count="2">
    <mergeCell ref="A56:H5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9" customWidth="1" min="4" max="4"/>
    <col width="24" customWidth="1" min="5" max="5"/>
    <col width="18" customWidth="1" min="6" max="6"/>
    <col width="12" customWidth="1" min="7" max="7"/>
    <col width="14" customWidth="1" min="8" max="8"/>
    <col width="10" customWidth="1" min="9" max="9"/>
  </cols>
  <sheetData>
    <row r="1" ht="28" customHeight="1">
      <c r="A1" s="1" t="inlineStr">
        <is>
          <t>CLEANED CUSTOMER DATA</t>
        </is>
      </c>
    </row>
    <row r="3" ht="30" customHeight="1">
      <c r="A3" s="2" t="inlineStr">
        <is>
          <t>Customer_ID</t>
        </is>
      </c>
      <c r="B3" s="2" t="inlineStr">
        <is>
          <t>Name (Cleaned)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City (Cleaned)</t>
        </is>
      </c>
      <c r="F3" s="2" t="inlineStr">
        <is>
          <t>State</t>
        </is>
      </c>
      <c r="G3" s="2" t="inlineStr">
        <is>
          <t>Country (Std)</t>
        </is>
      </c>
      <c r="H3" s="2" t="inlineStr">
        <is>
          <t>Loyalty_Level</t>
        </is>
      </c>
      <c r="I3" s="2" t="inlineStr">
        <is>
          <t>Age_Group</t>
        </is>
      </c>
    </row>
    <row r="4">
      <c r="A4" s="5" t="inlineStr">
        <is>
          <t>CUST1000</t>
        </is>
      </c>
      <c r="B4" s="5" t="inlineStr">
        <is>
          <t>Sheena Bonilla</t>
        </is>
      </c>
      <c r="C4" s="5" t="n">
        <v>55</v>
      </c>
      <c r="D4" s="5" t="inlineStr">
        <is>
          <t>Male</t>
        </is>
      </c>
      <c r="E4" s="5" t="inlineStr">
        <is>
          <t>Donaldton</t>
        </is>
      </c>
      <c r="F4" s="5" t="inlineStr">
        <is>
          <t>North Carolina</t>
        </is>
      </c>
      <c r="G4" s="5" t="inlineStr">
        <is>
          <t>USA</t>
        </is>
      </c>
      <c r="H4" s="9" t="inlineStr">
        <is>
          <t>Bronze</t>
        </is>
      </c>
      <c r="I4" s="5" t="inlineStr">
        <is>
          <t>55-64</t>
        </is>
      </c>
    </row>
    <row r="5">
      <c r="A5" s="4" t="inlineStr">
        <is>
          <t>CUST1001</t>
        </is>
      </c>
      <c r="B5" s="4" t="inlineStr">
        <is>
          <t>Eugene Nelson</t>
        </is>
      </c>
      <c r="C5" s="4" t="n">
        <v>26</v>
      </c>
      <c r="D5" s="4" t="inlineStr">
        <is>
          <t>Female</t>
        </is>
      </c>
      <c r="E5" s="4" t="inlineStr">
        <is>
          <t>Phillipsmouth</t>
        </is>
      </c>
      <c r="F5" s="4" t="inlineStr">
        <is>
          <t>North Dakota</t>
        </is>
      </c>
      <c r="G5" s="4" t="inlineStr">
        <is>
          <t>USA</t>
        </is>
      </c>
      <c r="H5" s="4" t="inlineStr">
        <is>
          <t>Platinum</t>
        </is>
      </c>
      <c r="I5" s="4" t="inlineStr">
        <is>
          <t>25-34</t>
        </is>
      </c>
    </row>
    <row r="6">
      <c r="A6" s="5" t="inlineStr">
        <is>
          <t>CUST1002</t>
        </is>
      </c>
      <c r="B6" s="5" t="inlineStr">
        <is>
          <t>Benjamin Price</t>
        </is>
      </c>
      <c r="C6" s="5" t="n">
        <v>29</v>
      </c>
      <c r="D6" s="5" t="inlineStr">
        <is>
          <t>Female</t>
        </is>
      </c>
      <c r="E6" s="5" t="inlineStr">
        <is>
          <t>Kylebury</t>
        </is>
      </c>
      <c r="F6" s="5" t="inlineStr">
        <is>
          <t>Alabama</t>
        </is>
      </c>
      <c r="G6" s="5" t="inlineStr">
        <is>
          <t>USA</t>
        </is>
      </c>
      <c r="H6" s="5" t="inlineStr">
        <is>
          <t>Platinum</t>
        </is>
      </c>
      <c r="I6" s="5" t="inlineStr">
        <is>
          <t>25-34</t>
        </is>
      </c>
    </row>
    <row r="7">
      <c r="A7" s="4" t="inlineStr">
        <is>
          <t>CUST1003</t>
        </is>
      </c>
      <c r="B7" s="4" t="inlineStr">
        <is>
          <t>Jeremy Harris</t>
        </is>
      </c>
      <c r="C7" s="4" t="n">
        <v>59</v>
      </c>
      <c r="D7" s="4" t="inlineStr">
        <is>
          <t>Female</t>
        </is>
      </c>
      <c r="E7" s="4" t="inlineStr">
        <is>
          <t>Thomastown</t>
        </is>
      </c>
      <c r="F7" s="4" t="inlineStr">
        <is>
          <t>Ohio</t>
        </is>
      </c>
      <c r="G7" s="4" t="inlineStr">
        <is>
          <t>USA</t>
        </is>
      </c>
      <c r="H7" s="4" t="inlineStr">
        <is>
          <t>Bronze</t>
        </is>
      </c>
      <c r="I7" s="4" t="inlineStr">
        <is>
          <t>55-64</t>
        </is>
      </c>
    </row>
    <row r="8">
      <c r="A8" s="5" t="inlineStr">
        <is>
          <t>CUST1004</t>
        </is>
      </c>
      <c r="B8" s="5" t="inlineStr">
        <is>
          <t>Caroline Collins</t>
        </is>
      </c>
      <c r="C8" s="5" t="n">
        <v>64</v>
      </c>
      <c r="D8" s="5" t="inlineStr">
        <is>
          <t>Female</t>
        </is>
      </c>
      <c r="E8" s="5" t="inlineStr">
        <is>
          <t>Nicholasshire</t>
        </is>
      </c>
      <c r="F8" s="5" t="inlineStr">
        <is>
          <t>California</t>
        </is>
      </c>
      <c r="G8" s="5" t="inlineStr">
        <is>
          <t>USA</t>
        </is>
      </c>
      <c r="H8" s="5" t="inlineStr">
        <is>
          <t>Silver</t>
        </is>
      </c>
      <c r="I8" s="5" t="inlineStr">
        <is>
          <t>55-64</t>
        </is>
      </c>
    </row>
    <row r="9">
      <c r="A9" s="4" t="inlineStr">
        <is>
          <t>CUST1005</t>
        </is>
      </c>
      <c r="B9" s="4" t="inlineStr">
        <is>
          <t>Christine Vaughn</t>
        </is>
      </c>
      <c r="C9" s="4" t="n">
        <v>24</v>
      </c>
      <c r="D9" s="4" t="inlineStr">
        <is>
          <t>Male</t>
        </is>
      </c>
      <c r="E9" s="4" t="inlineStr">
        <is>
          <t>East Amandamouth</t>
        </is>
      </c>
      <c r="F9" s="4" t="inlineStr">
        <is>
          <t>Oregon</t>
        </is>
      </c>
      <c r="G9" s="4" t="inlineStr">
        <is>
          <t>USA</t>
        </is>
      </c>
      <c r="H9" s="4" t="inlineStr">
        <is>
          <t>Bronze</t>
        </is>
      </c>
      <c r="I9" s="4" t="inlineStr">
        <is>
          <t>18-24</t>
        </is>
      </c>
    </row>
    <row r="10">
      <c r="A10" s="5" t="inlineStr">
        <is>
          <t>CUST1006</t>
        </is>
      </c>
      <c r="B10" s="5" t="inlineStr">
        <is>
          <t>Amber Jackson</t>
        </is>
      </c>
      <c r="C10" s="5" t="n">
        <v>29</v>
      </c>
      <c r="D10" s="5" t="inlineStr">
        <is>
          <t>Female</t>
        </is>
      </c>
      <c r="E10" s="5" t="inlineStr">
        <is>
          <t>Deborahborough</t>
        </is>
      </c>
      <c r="F10" s="5" t="inlineStr">
        <is>
          <t>South Dakota</t>
        </is>
      </c>
      <c r="G10" s="5" t="inlineStr">
        <is>
          <t>USA</t>
        </is>
      </c>
      <c r="H10" s="5" t="inlineStr">
        <is>
          <t>Platinum</t>
        </is>
      </c>
      <c r="I10" s="5" t="inlineStr">
        <is>
          <t>25-34</t>
        </is>
      </c>
    </row>
    <row r="11">
      <c r="A11" s="4" t="inlineStr">
        <is>
          <t>CUST1007</t>
        </is>
      </c>
      <c r="B11" s="4" t="inlineStr">
        <is>
          <t>Daniel Boyd</t>
        </is>
      </c>
      <c r="C11" s="4" t="n">
        <v>29</v>
      </c>
      <c r="D11" s="4" t="inlineStr">
        <is>
          <t>Female</t>
        </is>
      </c>
      <c r="E11" s="4" t="inlineStr">
        <is>
          <t>West Pamelafurt</t>
        </is>
      </c>
      <c r="F11" s="4" t="inlineStr">
        <is>
          <t>West Virginia</t>
        </is>
      </c>
      <c r="G11" s="4" t="inlineStr">
        <is>
          <t>USA</t>
        </is>
      </c>
      <c r="H11" s="4" t="inlineStr">
        <is>
          <t>Bronze</t>
        </is>
      </c>
      <c r="I11" s="4" t="inlineStr">
        <is>
          <t>25-34</t>
        </is>
      </c>
    </row>
    <row r="12">
      <c r="A12" s="5" t="inlineStr">
        <is>
          <t>CUST1008</t>
        </is>
      </c>
      <c r="B12" s="5" t="inlineStr">
        <is>
          <t>Melissa Howard</t>
        </is>
      </c>
      <c r="C12" s="5" t="n">
        <v>53</v>
      </c>
      <c r="D12" s="5" t="inlineStr">
        <is>
          <t>Female</t>
        </is>
      </c>
      <c r="E12" s="5" t="inlineStr">
        <is>
          <t>Maynardton</t>
        </is>
      </c>
      <c r="F12" s="5" t="inlineStr">
        <is>
          <t>New Hampshire</t>
        </is>
      </c>
      <c r="G12" s="5" t="inlineStr">
        <is>
          <t>USA</t>
        </is>
      </c>
      <c r="H12" s="5" t="inlineStr">
        <is>
          <t>Gold</t>
        </is>
      </c>
      <c r="I12" s="5" t="inlineStr">
        <is>
          <t>45-54</t>
        </is>
      </c>
    </row>
    <row r="13">
      <c r="A13" s="4" t="inlineStr">
        <is>
          <t>CUST1009</t>
        </is>
      </c>
      <c r="B13" s="4" t="inlineStr">
        <is>
          <t>Maria Leach</t>
        </is>
      </c>
      <c r="C13" s="4" t="n">
        <v>64</v>
      </c>
      <c r="D13" s="4" t="inlineStr">
        <is>
          <t>Male</t>
        </is>
      </c>
      <c r="E13" s="4" t="inlineStr">
        <is>
          <t>Melissashire</t>
        </is>
      </c>
      <c r="F13" s="4" t="inlineStr">
        <is>
          <t>Pennsylvania</t>
        </is>
      </c>
      <c r="G13" s="4" t="inlineStr">
        <is>
          <t>USA</t>
        </is>
      </c>
      <c r="H13" s="4" t="inlineStr">
        <is>
          <t>Platinum</t>
        </is>
      </c>
      <c r="I13" s="4" t="inlineStr">
        <is>
          <t>55-64</t>
        </is>
      </c>
    </row>
    <row r="14">
      <c r="A14" s="5" t="inlineStr">
        <is>
          <t>CUST1010</t>
        </is>
      </c>
      <c r="B14" s="5" t="inlineStr">
        <is>
          <t>Dominic Page</t>
        </is>
      </c>
      <c r="C14" s="5" t="n">
        <v>53</v>
      </c>
      <c r="D14" s="5" t="inlineStr">
        <is>
          <t>Male</t>
        </is>
      </c>
      <c r="E14" s="5" t="inlineStr">
        <is>
          <t>Port Michaelburgh</t>
        </is>
      </c>
      <c r="F14" s="5" t="inlineStr">
        <is>
          <t>Pennsylvania</t>
        </is>
      </c>
      <c r="G14" s="5" t="inlineStr">
        <is>
          <t>USA</t>
        </is>
      </c>
      <c r="H14" s="5" t="inlineStr">
        <is>
          <t>Bronze</t>
        </is>
      </c>
      <c r="I14" s="5" t="inlineStr">
        <is>
          <t>45-54</t>
        </is>
      </c>
    </row>
    <row r="15">
      <c r="A15" s="4" t="inlineStr">
        <is>
          <t>CUST1011</t>
        </is>
      </c>
      <c r="B15" s="4" t="inlineStr">
        <is>
          <t>Brian Lopez</t>
        </is>
      </c>
      <c r="C15" s="4" t="n">
        <v>28</v>
      </c>
      <c r="D15" s="4" t="inlineStr">
        <is>
          <t>Female</t>
        </is>
      </c>
      <c r="E15" s="4" t="inlineStr">
        <is>
          <t>East Krista</t>
        </is>
      </c>
      <c r="F15" s="4" t="inlineStr">
        <is>
          <t>New York</t>
        </is>
      </c>
      <c r="G15" s="4" t="inlineStr">
        <is>
          <t>USA</t>
        </is>
      </c>
      <c r="H15" s="4" t="inlineStr">
        <is>
          <t>Gold</t>
        </is>
      </c>
      <c r="I15" s="4" t="inlineStr">
        <is>
          <t>25-34</t>
        </is>
      </c>
    </row>
    <row r="16">
      <c r="A16" s="5" t="inlineStr">
        <is>
          <t>CUST1012</t>
        </is>
      </c>
      <c r="B16" s="5" t="inlineStr">
        <is>
          <t>Kenneth Lambert</t>
        </is>
      </c>
      <c r="C16" s="5" t="n">
        <v>55</v>
      </c>
      <c r="D16" s="5" t="inlineStr">
        <is>
          <t>Female</t>
        </is>
      </c>
      <c r="E16" s="5" t="inlineStr">
        <is>
          <t>North Kathryn</t>
        </is>
      </c>
      <c r="F16" s="5" t="inlineStr">
        <is>
          <t>Kansas</t>
        </is>
      </c>
      <c r="G16" s="5" t="inlineStr">
        <is>
          <t>USA</t>
        </is>
      </c>
      <c r="H16" s="5" t="inlineStr">
        <is>
          <t>Platinum</t>
        </is>
      </c>
      <c r="I16" s="5" t="inlineStr">
        <is>
          <t>55-64</t>
        </is>
      </c>
    </row>
    <row r="17">
      <c r="A17" s="4" t="inlineStr">
        <is>
          <t>CUST1013</t>
        </is>
      </c>
      <c r="B17" s="4" t="inlineStr">
        <is>
          <t>Nathan Hernandez</t>
        </is>
      </c>
      <c r="C17" s="4" t="n">
        <v>32</v>
      </c>
      <c r="D17" s="4" t="inlineStr">
        <is>
          <t>Female</t>
        </is>
      </c>
      <c r="E17" s="4" t="inlineStr">
        <is>
          <t>New Becky</t>
        </is>
      </c>
      <c r="F17" s="4" t="inlineStr">
        <is>
          <t>Montana</t>
        </is>
      </c>
      <c r="G17" s="4" t="inlineStr">
        <is>
          <t>USA</t>
        </is>
      </c>
      <c r="H17" s="4" t="inlineStr">
        <is>
          <t>Silver</t>
        </is>
      </c>
      <c r="I17" s="4" t="inlineStr">
        <is>
          <t>25-34</t>
        </is>
      </c>
    </row>
    <row r="18">
      <c r="A18" s="5" t="inlineStr">
        <is>
          <t>CUST1014</t>
        </is>
      </c>
      <c r="B18" s="5" t="inlineStr">
        <is>
          <t>Ashley Cohen</t>
        </is>
      </c>
      <c r="C18" s="5" t="n">
        <v>53</v>
      </c>
      <c r="D18" s="5" t="inlineStr">
        <is>
          <t>Female</t>
        </is>
      </c>
      <c r="E18" s="5" t="inlineStr">
        <is>
          <t>Lake Kristamouth</t>
        </is>
      </c>
      <c r="F18" s="5" t="inlineStr">
        <is>
          <t>Nebraska</t>
        </is>
      </c>
      <c r="G18" s="5" t="inlineStr">
        <is>
          <t>USA</t>
        </is>
      </c>
      <c r="H18" s="5" t="inlineStr">
        <is>
          <t>Silver</t>
        </is>
      </c>
      <c r="I18" s="5" t="inlineStr">
        <is>
          <t>45-54</t>
        </is>
      </c>
    </row>
    <row r="19">
      <c r="A19" s="4" t="inlineStr">
        <is>
          <t>CUST1015</t>
        </is>
      </c>
      <c r="B19" s="4" t="inlineStr">
        <is>
          <t>Laura Alvarez</t>
        </is>
      </c>
      <c r="C19" s="4" t="n">
        <v>49</v>
      </c>
      <c r="D19" s="4" t="inlineStr">
        <is>
          <t>Female</t>
        </is>
      </c>
      <c r="E19" s="4" t="inlineStr">
        <is>
          <t>Lawsonhaven</t>
        </is>
      </c>
      <c r="F19" s="4" t="inlineStr">
        <is>
          <t>Washington</t>
        </is>
      </c>
      <c r="G19" s="4" t="inlineStr">
        <is>
          <t>USA</t>
        </is>
      </c>
      <c r="H19" s="4" t="inlineStr">
        <is>
          <t>Platinum</t>
        </is>
      </c>
      <c r="I19" s="4" t="inlineStr">
        <is>
          <t>45-54</t>
        </is>
      </c>
    </row>
    <row r="20">
      <c r="A20" s="5" t="inlineStr">
        <is>
          <t>CUST1016</t>
        </is>
      </c>
      <c r="B20" s="5" t="inlineStr">
        <is>
          <t>John Scott</t>
        </is>
      </c>
      <c r="C20" s="5" t="n">
        <v>24</v>
      </c>
      <c r="D20" s="5" t="inlineStr">
        <is>
          <t>Female</t>
        </is>
      </c>
      <c r="E20" s="5" t="inlineStr">
        <is>
          <t>South Christopher</t>
        </is>
      </c>
      <c r="F20" s="5" t="inlineStr">
        <is>
          <t>Pennsylvania</t>
        </is>
      </c>
      <c r="G20" s="5" t="inlineStr">
        <is>
          <t>USA</t>
        </is>
      </c>
      <c r="H20" s="5" t="inlineStr">
        <is>
          <t>Bronze</t>
        </is>
      </c>
      <c r="I20" s="5" t="inlineStr">
        <is>
          <t>18-24</t>
        </is>
      </c>
    </row>
    <row r="21">
      <c r="A21" s="4" t="inlineStr">
        <is>
          <t>CUST1017</t>
        </is>
      </c>
      <c r="B21" s="4" t="inlineStr">
        <is>
          <t>Adam Cruz</t>
        </is>
      </c>
      <c r="C21" s="4" t="n">
        <v>60</v>
      </c>
      <c r="D21" s="4" t="inlineStr">
        <is>
          <t>Female</t>
        </is>
      </c>
      <c r="E21" s="4" t="inlineStr">
        <is>
          <t>Brandonville</t>
        </is>
      </c>
      <c r="F21" s="4" t="inlineStr">
        <is>
          <t>Georgia</t>
        </is>
      </c>
      <c r="G21" s="4" t="inlineStr">
        <is>
          <t>USA</t>
        </is>
      </c>
      <c r="H21" s="4" t="inlineStr">
        <is>
          <t>Platinum</t>
        </is>
      </c>
      <c r="I21" s="4" t="inlineStr">
        <is>
          <t>55-64</t>
        </is>
      </c>
    </row>
    <row r="22">
      <c r="A22" s="5" t="inlineStr">
        <is>
          <t>CUST1018</t>
        </is>
      </c>
      <c r="B22" s="5" t="inlineStr">
        <is>
          <t>Rhonda Moss</t>
        </is>
      </c>
      <c r="C22" s="5" t="n">
        <v>43</v>
      </c>
      <c r="D22" s="5" t="inlineStr">
        <is>
          <t>Male</t>
        </is>
      </c>
      <c r="E22" s="5" t="inlineStr">
        <is>
          <t>South William</t>
        </is>
      </c>
      <c r="F22" s="5" t="inlineStr">
        <is>
          <t>Kansas</t>
        </is>
      </c>
      <c r="G22" s="5" t="inlineStr">
        <is>
          <t>USA</t>
        </is>
      </c>
      <c r="H22" s="9" t="inlineStr">
        <is>
          <t>Bronze</t>
        </is>
      </c>
      <c r="I22" s="5" t="inlineStr">
        <is>
          <t>35-44</t>
        </is>
      </c>
    </row>
    <row r="23">
      <c r="A23" s="4" t="inlineStr">
        <is>
          <t>CUST1019</t>
        </is>
      </c>
      <c r="B23" s="4" t="inlineStr">
        <is>
          <t>Michael Torres</t>
        </is>
      </c>
      <c r="C23" s="4" t="n">
        <v>46</v>
      </c>
      <c r="D23" s="4" t="inlineStr">
        <is>
          <t>Female</t>
        </is>
      </c>
      <c r="E23" s="4" t="inlineStr">
        <is>
          <t>Gonzalezfort</t>
        </is>
      </c>
      <c r="F23" s="4" t="inlineStr">
        <is>
          <t>New Jersey</t>
        </is>
      </c>
      <c r="G23" s="4" t="inlineStr">
        <is>
          <t>USA</t>
        </is>
      </c>
      <c r="H23" s="4" t="inlineStr">
        <is>
          <t>Platinum</t>
        </is>
      </c>
      <c r="I23" s="4" t="inlineStr">
        <is>
          <t>45-54</t>
        </is>
      </c>
    </row>
    <row r="24">
      <c r="A24" s="5" t="inlineStr">
        <is>
          <t>CUST1020</t>
        </is>
      </c>
      <c r="B24" s="5" t="inlineStr">
        <is>
          <t>Bridget Allen</t>
        </is>
      </c>
      <c r="C24" s="5" t="n">
        <v>59</v>
      </c>
      <c r="D24" s="5" t="inlineStr">
        <is>
          <t>Male</t>
        </is>
      </c>
      <c r="E24" s="5" t="inlineStr">
        <is>
          <t>Lake Shaneburgh</t>
        </is>
      </c>
      <c r="F24" s="5" t="inlineStr">
        <is>
          <t>Delaware</t>
        </is>
      </c>
      <c r="G24" s="5" t="inlineStr">
        <is>
          <t>USA</t>
        </is>
      </c>
      <c r="H24" s="5" t="inlineStr">
        <is>
          <t>Silver</t>
        </is>
      </c>
      <c r="I24" s="5" t="inlineStr">
        <is>
          <t>55-64</t>
        </is>
      </c>
    </row>
    <row r="25">
      <c r="A25" s="4" t="inlineStr">
        <is>
          <t>CUST1021</t>
        </is>
      </c>
      <c r="B25" s="4" t="inlineStr">
        <is>
          <t>Jeff Martinez</t>
        </is>
      </c>
      <c r="C25" s="4" t="n">
        <v>36</v>
      </c>
      <c r="D25" s="4" t="inlineStr">
        <is>
          <t>Female</t>
        </is>
      </c>
      <c r="E25" s="4" t="inlineStr">
        <is>
          <t>Smithburgh</t>
        </is>
      </c>
      <c r="F25" s="4" t="inlineStr">
        <is>
          <t>Oklahoma</t>
        </is>
      </c>
      <c r="G25" s="4" t="inlineStr">
        <is>
          <t>USA</t>
        </is>
      </c>
      <c r="H25" s="4" t="inlineStr">
        <is>
          <t>Gold</t>
        </is>
      </c>
      <c r="I25" s="4" t="inlineStr">
        <is>
          <t>35-44</t>
        </is>
      </c>
    </row>
    <row r="26">
      <c r="A26" s="5" t="inlineStr">
        <is>
          <t>CUST1022</t>
        </is>
      </c>
      <c r="B26" s="5" t="inlineStr">
        <is>
          <t>Paul Fox</t>
        </is>
      </c>
      <c r="C26" s="5" t="n">
        <v>33</v>
      </c>
      <c r="D26" s="5" t="inlineStr">
        <is>
          <t>Female</t>
        </is>
      </c>
      <c r="E26" s="5" t="inlineStr">
        <is>
          <t>Michaelton</t>
        </is>
      </c>
      <c r="F26" s="5" t="inlineStr">
        <is>
          <t>Hawaii</t>
        </is>
      </c>
      <c r="G26" s="5" t="inlineStr">
        <is>
          <t>USA</t>
        </is>
      </c>
      <c r="H26" s="5" t="inlineStr">
        <is>
          <t>Silver</t>
        </is>
      </c>
      <c r="I26" s="5" t="inlineStr">
        <is>
          <t>25-34</t>
        </is>
      </c>
    </row>
    <row r="27">
      <c r="A27" s="4" t="inlineStr">
        <is>
          <t>CUST1023</t>
        </is>
      </c>
      <c r="B27" s="4" t="inlineStr">
        <is>
          <t>Jonathan Steele</t>
        </is>
      </c>
      <c r="C27" s="4" t="n">
        <v>52</v>
      </c>
      <c r="D27" s="4" t="inlineStr">
        <is>
          <t>Female</t>
        </is>
      </c>
      <c r="E27" s="4" t="inlineStr">
        <is>
          <t>Molinabury</t>
        </is>
      </c>
      <c r="F27" s="4" t="inlineStr">
        <is>
          <t>Oregon</t>
        </is>
      </c>
      <c r="G27" s="4" t="inlineStr">
        <is>
          <t>USA</t>
        </is>
      </c>
      <c r="H27" s="4" t="inlineStr">
        <is>
          <t>Silver</t>
        </is>
      </c>
      <c r="I27" s="4" t="inlineStr">
        <is>
          <t>45-54</t>
        </is>
      </c>
    </row>
    <row r="28">
      <c r="A28" s="5" t="inlineStr">
        <is>
          <t>CUST1024</t>
        </is>
      </c>
      <c r="B28" s="5" t="inlineStr">
        <is>
          <t>Heather Collins</t>
        </is>
      </c>
      <c r="C28" s="5" t="n">
        <v>40</v>
      </c>
      <c r="D28" s="5" t="inlineStr">
        <is>
          <t>Male</t>
        </is>
      </c>
      <c r="E28" s="5" t="inlineStr">
        <is>
          <t>Rogerschester</t>
        </is>
      </c>
      <c r="F28" s="5" t="inlineStr">
        <is>
          <t>Idaho</t>
        </is>
      </c>
      <c r="G28" s="5" t="inlineStr">
        <is>
          <t>USA</t>
        </is>
      </c>
      <c r="H28" s="5" t="inlineStr">
        <is>
          <t>Platinum</t>
        </is>
      </c>
      <c r="I28" s="5" t="inlineStr">
        <is>
          <t>35-44</t>
        </is>
      </c>
    </row>
    <row r="29">
      <c r="A29" s="4" t="inlineStr">
        <is>
          <t>CUST1025</t>
        </is>
      </c>
      <c r="B29" s="4" t="inlineStr">
        <is>
          <t>Diana Taylor</t>
        </is>
      </c>
      <c r="C29" s="4" t="n">
        <v>59</v>
      </c>
      <c r="D29" s="4" t="inlineStr">
        <is>
          <t>Female</t>
        </is>
      </c>
      <c r="E29" s="4" t="inlineStr">
        <is>
          <t>Vasqueztown</t>
        </is>
      </c>
      <c r="F29" s="4" t="inlineStr">
        <is>
          <t>California</t>
        </is>
      </c>
      <c r="G29" s="4" t="inlineStr">
        <is>
          <t>USA</t>
        </is>
      </c>
      <c r="H29" s="4" t="inlineStr">
        <is>
          <t>Bronze</t>
        </is>
      </c>
      <c r="I29" s="4" t="inlineStr">
        <is>
          <t>55-64</t>
        </is>
      </c>
    </row>
    <row r="30">
      <c r="A30" s="5" t="inlineStr">
        <is>
          <t>CUST1026</t>
        </is>
      </c>
      <c r="B30" s="5" t="inlineStr">
        <is>
          <t>Amber Carlson</t>
        </is>
      </c>
      <c r="C30" s="5" t="n">
        <v>18</v>
      </c>
      <c r="D30" s="5" t="inlineStr">
        <is>
          <t>Female</t>
        </is>
      </c>
      <c r="E30" s="5" t="inlineStr">
        <is>
          <t>East Michellemouth</t>
        </is>
      </c>
      <c r="F30" s="5" t="inlineStr">
        <is>
          <t>Missouri</t>
        </is>
      </c>
      <c r="G30" s="5" t="inlineStr">
        <is>
          <t>USA</t>
        </is>
      </c>
      <c r="H30" s="5" t="inlineStr">
        <is>
          <t>Gold</t>
        </is>
      </c>
      <c r="I30" s="5" t="inlineStr">
        <is>
          <t>18-24</t>
        </is>
      </c>
    </row>
    <row r="31">
      <c r="A31" s="4" t="inlineStr">
        <is>
          <t>CUST1027</t>
        </is>
      </c>
      <c r="B31" s="4" t="inlineStr">
        <is>
          <t>Leslie Johnson</t>
        </is>
      </c>
      <c r="C31" s="4" t="n">
        <v>31</v>
      </c>
      <c r="D31" s="4" t="inlineStr">
        <is>
          <t>Male</t>
        </is>
      </c>
      <c r="E31" s="4" t="inlineStr">
        <is>
          <t>Mollyshire</t>
        </is>
      </c>
      <c r="F31" s="4" t="inlineStr">
        <is>
          <t>Utah</t>
        </is>
      </c>
      <c r="G31" s="4" t="inlineStr">
        <is>
          <t>USA</t>
        </is>
      </c>
      <c r="H31" s="9" t="inlineStr">
        <is>
          <t>Bronze</t>
        </is>
      </c>
      <c r="I31" s="4" t="inlineStr">
        <is>
          <t>25-34</t>
        </is>
      </c>
    </row>
    <row r="32">
      <c r="A32" s="5" t="inlineStr">
        <is>
          <t>CUST1028</t>
        </is>
      </c>
      <c r="B32" s="5" t="inlineStr">
        <is>
          <t>Joshua Ryan</t>
        </is>
      </c>
      <c r="C32" s="5" t="n">
        <v>27</v>
      </c>
      <c r="D32" s="5" t="inlineStr">
        <is>
          <t>Female</t>
        </is>
      </c>
      <c r="E32" s="5" t="inlineStr">
        <is>
          <t>New David</t>
        </is>
      </c>
      <c r="F32" s="5" t="inlineStr">
        <is>
          <t>New Jersey</t>
        </is>
      </c>
      <c r="G32" s="5" t="inlineStr">
        <is>
          <t>USA</t>
        </is>
      </c>
      <c r="H32" s="5" t="inlineStr">
        <is>
          <t>Platinum</t>
        </is>
      </c>
      <c r="I32" s="5" t="inlineStr">
        <is>
          <t>25-34</t>
        </is>
      </c>
    </row>
    <row r="33">
      <c r="A33" s="4" t="inlineStr">
        <is>
          <t>CUST1029</t>
        </is>
      </c>
      <c r="B33" s="4" t="inlineStr">
        <is>
          <t>David Arnold</t>
        </is>
      </c>
      <c r="C33" s="4" t="n">
        <v>54</v>
      </c>
      <c r="D33" s="4" t="inlineStr">
        <is>
          <t>Female</t>
        </is>
      </c>
      <c r="E33" s="4" t="inlineStr">
        <is>
          <t>East Jennifer</t>
        </is>
      </c>
      <c r="F33" s="4" t="inlineStr">
        <is>
          <t>California</t>
        </is>
      </c>
      <c r="G33" s="4" t="inlineStr">
        <is>
          <t>USA</t>
        </is>
      </c>
      <c r="H33" s="4" t="inlineStr">
        <is>
          <t>Silver</t>
        </is>
      </c>
      <c r="I33" s="4" t="inlineStr">
        <is>
          <t>45-54</t>
        </is>
      </c>
    </row>
    <row r="34">
      <c r="A34" s="5" t="inlineStr">
        <is>
          <t>CUST1030</t>
        </is>
      </c>
      <c r="B34" s="5" t="inlineStr">
        <is>
          <t>Jessica Acevedo</t>
        </is>
      </c>
      <c r="C34" s="5" t="n">
        <v>64</v>
      </c>
      <c r="D34" s="5" t="inlineStr">
        <is>
          <t>Female</t>
        </is>
      </c>
      <c r="E34" s="5" t="inlineStr">
        <is>
          <t>Amybury</t>
        </is>
      </c>
      <c r="F34" s="5" t="inlineStr">
        <is>
          <t>Pennsylvania</t>
        </is>
      </c>
      <c r="G34" s="5" t="inlineStr">
        <is>
          <t>USA</t>
        </is>
      </c>
      <c r="H34" s="5" t="inlineStr">
        <is>
          <t>Bronze</t>
        </is>
      </c>
      <c r="I34" s="5" t="inlineStr">
        <is>
          <t>55-64</t>
        </is>
      </c>
    </row>
    <row r="35">
      <c r="A35" s="4" t="inlineStr">
        <is>
          <t>CUST1031</t>
        </is>
      </c>
      <c r="B35" s="4" t="inlineStr">
        <is>
          <t>Sarah Vance</t>
        </is>
      </c>
      <c r="C35" s="4" t="n">
        <v>41</v>
      </c>
      <c r="D35" s="4" t="inlineStr">
        <is>
          <t>Male</t>
        </is>
      </c>
      <c r="E35" s="4" t="inlineStr">
        <is>
          <t>Johnsonville</t>
        </is>
      </c>
      <c r="F35" s="4" t="inlineStr">
        <is>
          <t>Oregon</t>
        </is>
      </c>
      <c r="G35" s="4" t="inlineStr">
        <is>
          <t>USA</t>
        </is>
      </c>
      <c r="H35" s="4" t="inlineStr">
        <is>
          <t>Silver</t>
        </is>
      </c>
      <c r="I35" s="4" t="inlineStr">
        <is>
          <t>35-44</t>
        </is>
      </c>
    </row>
    <row r="36">
      <c r="A36" s="5" t="inlineStr">
        <is>
          <t>CUST1032</t>
        </is>
      </c>
      <c r="B36" s="5" t="inlineStr">
        <is>
          <t>Mike Jennings</t>
        </is>
      </c>
      <c r="C36" s="5" t="n">
        <v>48</v>
      </c>
      <c r="D36" s="5" t="inlineStr">
        <is>
          <t>Female</t>
        </is>
      </c>
      <c r="E36" s="5" t="inlineStr">
        <is>
          <t>Fostermouth</t>
        </is>
      </c>
      <c r="F36" s="5" t="inlineStr">
        <is>
          <t>Arizona</t>
        </is>
      </c>
      <c r="G36" s="5" t="inlineStr">
        <is>
          <t>USA</t>
        </is>
      </c>
      <c r="H36" s="5" t="inlineStr">
        <is>
          <t>Gold</t>
        </is>
      </c>
      <c r="I36" s="5" t="inlineStr">
        <is>
          <t>45-54</t>
        </is>
      </c>
    </row>
    <row r="37">
      <c r="A37" s="4" t="inlineStr">
        <is>
          <t>CUST1033</t>
        </is>
      </c>
      <c r="B37" s="4" t="inlineStr">
        <is>
          <t>Robert Jones</t>
        </is>
      </c>
      <c r="C37" s="4" t="n">
        <v>25</v>
      </c>
      <c r="D37" s="4" t="inlineStr">
        <is>
          <t>Male</t>
        </is>
      </c>
      <c r="E37" s="4" t="inlineStr">
        <is>
          <t>Tristanton</t>
        </is>
      </c>
      <c r="F37" s="4" t="inlineStr">
        <is>
          <t>Oklahoma</t>
        </is>
      </c>
      <c r="G37" s="4" t="inlineStr">
        <is>
          <t>USA</t>
        </is>
      </c>
      <c r="H37" s="4" t="inlineStr">
        <is>
          <t>Platinum</t>
        </is>
      </c>
      <c r="I37" s="4" t="inlineStr">
        <is>
          <t>25-34</t>
        </is>
      </c>
    </row>
    <row r="38">
      <c r="A38" s="5" t="inlineStr">
        <is>
          <t>CUST1034</t>
        </is>
      </c>
      <c r="B38" s="5" t="inlineStr">
        <is>
          <t>Christopher Olson</t>
        </is>
      </c>
      <c r="C38" s="5" t="n">
        <v>27</v>
      </c>
      <c r="D38" s="5" t="inlineStr">
        <is>
          <t>Female</t>
        </is>
      </c>
      <c r="E38" s="5" t="inlineStr">
        <is>
          <t>West Richard</t>
        </is>
      </c>
      <c r="F38" s="5" t="inlineStr">
        <is>
          <t>Maryland</t>
        </is>
      </c>
      <c r="G38" s="5" t="inlineStr">
        <is>
          <t>USA</t>
        </is>
      </c>
      <c r="H38" s="5" t="inlineStr">
        <is>
          <t>Platinum</t>
        </is>
      </c>
      <c r="I38" s="5" t="inlineStr">
        <is>
          <t>25-34</t>
        </is>
      </c>
    </row>
    <row r="39">
      <c r="A39" s="4" t="inlineStr">
        <is>
          <t>CUST1035</t>
        </is>
      </c>
      <c r="B39" s="4" t="inlineStr">
        <is>
          <t>Rachel Myers</t>
        </is>
      </c>
      <c r="C39" s="4" t="n">
        <v>52</v>
      </c>
      <c r="D39" s="4" t="inlineStr">
        <is>
          <t>Male</t>
        </is>
      </c>
      <c r="E39" s="4" t="inlineStr">
        <is>
          <t>Robertberg</t>
        </is>
      </c>
      <c r="F39" s="4" t="inlineStr">
        <is>
          <t>North Dakota</t>
        </is>
      </c>
      <c r="G39" s="4" t="inlineStr">
        <is>
          <t>USA</t>
        </is>
      </c>
      <c r="H39" s="4" t="inlineStr">
        <is>
          <t>Silver</t>
        </is>
      </c>
      <c r="I39" s="4" t="inlineStr">
        <is>
          <t>45-54</t>
        </is>
      </c>
    </row>
    <row r="40">
      <c r="A40" s="5" t="inlineStr">
        <is>
          <t>CUST1036</t>
        </is>
      </c>
      <c r="B40" s="5" t="inlineStr">
        <is>
          <t>Thomas Phillips</t>
        </is>
      </c>
      <c r="C40" s="5" t="n">
        <v>20</v>
      </c>
      <c r="D40" s="5" t="inlineStr">
        <is>
          <t>Female</t>
        </is>
      </c>
      <c r="E40" s="5" t="inlineStr">
        <is>
          <t>Luisfurt</t>
        </is>
      </c>
      <c r="F40" s="5" t="inlineStr">
        <is>
          <t>Georgia</t>
        </is>
      </c>
      <c r="G40" s="5" t="inlineStr">
        <is>
          <t>USA</t>
        </is>
      </c>
      <c r="H40" s="5" t="inlineStr">
        <is>
          <t>Gold</t>
        </is>
      </c>
      <c r="I40" s="5" t="inlineStr">
        <is>
          <t>18-24</t>
        </is>
      </c>
    </row>
    <row r="41">
      <c r="A41" s="4" t="inlineStr">
        <is>
          <t>CUST1037</t>
        </is>
      </c>
      <c r="B41" s="4" t="inlineStr">
        <is>
          <t>Christopher Carter</t>
        </is>
      </c>
      <c r="C41" s="4" t="n">
        <v>27</v>
      </c>
      <c r="D41" s="4" t="inlineStr">
        <is>
          <t>Female</t>
        </is>
      </c>
      <c r="E41" s="4" t="inlineStr">
        <is>
          <t>Brendastad</t>
        </is>
      </c>
      <c r="F41" s="4" t="inlineStr">
        <is>
          <t>South Dakota</t>
        </is>
      </c>
      <c r="G41" s="4" t="inlineStr">
        <is>
          <t>USA</t>
        </is>
      </c>
      <c r="H41" s="9" t="inlineStr">
        <is>
          <t>Bronze</t>
        </is>
      </c>
      <c r="I41" s="4" t="inlineStr">
        <is>
          <t>25-34</t>
        </is>
      </c>
    </row>
    <row r="42">
      <c r="A42" s="5" t="inlineStr">
        <is>
          <t>CUST1038</t>
        </is>
      </c>
      <c r="B42" s="5" t="inlineStr">
        <is>
          <t>Deanna Simpson</t>
        </is>
      </c>
      <c r="C42" s="5" t="n">
        <v>35</v>
      </c>
      <c r="D42" s="5" t="inlineStr">
        <is>
          <t>Female</t>
        </is>
      </c>
      <c r="E42" s="5" t="inlineStr">
        <is>
          <t>Brownport</t>
        </is>
      </c>
      <c r="F42" s="5" t="inlineStr">
        <is>
          <t>North Dakota</t>
        </is>
      </c>
      <c r="G42" s="5" t="inlineStr">
        <is>
          <t>USA</t>
        </is>
      </c>
      <c r="H42" s="5" t="inlineStr">
        <is>
          <t>Bronze</t>
        </is>
      </c>
      <c r="I42" s="5" t="inlineStr">
        <is>
          <t>35-44</t>
        </is>
      </c>
    </row>
    <row r="43">
      <c r="A43" s="4" t="inlineStr">
        <is>
          <t>CUST1039</t>
        </is>
      </c>
      <c r="B43" s="4" t="inlineStr">
        <is>
          <t>Tonya Reynolds</t>
        </is>
      </c>
      <c r="C43" s="4" t="n">
        <v>55</v>
      </c>
      <c r="D43" s="4" t="inlineStr">
        <is>
          <t>Female</t>
        </is>
      </c>
      <c r="E43" s="4" t="inlineStr">
        <is>
          <t>Darleneton</t>
        </is>
      </c>
      <c r="F43" s="4" t="inlineStr">
        <is>
          <t>Michigan</t>
        </is>
      </c>
      <c r="G43" s="4" t="inlineStr">
        <is>
          <t>USA</t>
        </is>
      </c>
      <c r="H43" s="4" t="inlineStr">
        <is>
          <t>Gold</t>
        </is>
      </c>
      <c r="I43" s="4" t="inlineStr">
        <is>
          <t>55-64</t>
        </is>
      </c>
    </row>
    <row r="44">
      <c r="A44" s="5" t="inlineStr">
        <is>
          <t>CUST1040</t>
        </is>
      </c>
      <c r="B44" s="5" t="inlineStr">
        <is>
          <t>Eric Vega</t>
        </is>
      </c>
      <c r="C44" s="5" t="n">
        <v>50</v>
      </c>
      <c r="D44" s="5" t="inlineStr">
        <is>
          <t>Male</t>
        </is>
      </c>
      <c r="E44" s="5" t="inlineStr">
        <is>
          <t>Williamsonland</t>
        </is>
      </c>
      <c r="F44" s="5" t="inlineStr">
        <is>
          <t>Kansas</t>
        </is>
      </c>
      <c r="G44" s="5" t="inlineStr">
        <is>
          <t>USA</t>
        </is>
      </c>
      <c r="H44" s="5" t="inlineStr">
        <is>
          <t>Gold</t>
        </is>
      </c>
      <c r="I44" s="5" t="inlineStr">
        <is>
          <t>45-54</t>
        </is>
      </c>
    </row>
    <row r="45">
      <c r="A45" s="4" t="inlineStr">
        <is>
          <t>CUST1041</t>
        </is>
      </c>
      <c r="B45" s="4" t="inlineStr">
        <is>
          <t>James Gibbs</t>
        </is>
      </c>
      <c r="C45" s="4" t="n">
        <v>21</v>
      </c>
      <c r="D45" s="4" t="inlineStr">
        <is>
          <t>Male</t>
        </is>
      </c>
      <c r="E45" s="4" t="inlineStr">
        <is>
          <t>Mooneyshire</t>
        </is>
      </c>
      <c r="F45" s="4" t="inlineStr">
        <is>
          <t>Alaska</t>
        </is>
      </c>
      <c r="G45" s="4" t="inlineStr">
        <is>
          <t>USA</t>
        </is>
      </c>
      <c r="H45" s="4" t="inlineStr">
        <is>
          <t>Platinum</t>
        </is>
      </c>
      <c r="I45" s="4" t="inlineStr">
        <is>
          <t>18-24</t>
        </is>
      </c>
    </row>
    <row r="46">
      <c r="A46" s="5" t="inlineStr">
        <is>
          <t>CUST1042</t>
        </is>
      </c>
      <c r="B46" s="5" t="inlineStr">
        <is>
          <t>William Martin</t>
        </is>
      </c>
      <c r="C46" s="5" t="n">
        <v>19</v>
      </c>
      <c r="D46" s="5" t="inlineStr">
        <is>
          <t>Male</t>
        </is>
      </c>
      <c r="E46" s="5" t="inlineStr">
        <is>
          <t>Ryanburgh</t>
        </is>
      </c>
      <c r="F46" s="5" t="inlineStr">
        <is>
          <t>Connecticut</t>
        </is>
      </c>
      <c r="G46" s="5" t="inlineStr">
        <is>
          <t>USA</t>
        </is>
      </c>
      <c r="H46" s="5" t="inlineStr">
        <is>
          <t>Platinum</t>
        </is>
      </c>
      <c r="I46" s="5" t="inlineStr">
        <is>
          <t>18-24</t>
        </is>
      </c>
    </row>
    <row r="47">
      <c r="A47" s="4" t="inlineStr">
        <is>
          <t>CUST1043</t>
        </is>
      </c>
      <c r="B47" s="4" t="inlineStr">
        <is>
          <t>Joseph Snow</t>
        </is>
      </c>
      <c r="C47" s="4" t="n">
        <v>45</v>
      </c>
      <c r="D47" s="4" t="inlineStr">
        <is>
          <t>Male</t>
        </is>
      </c>
      <c r="E47" s="4" t="inlineStr">
        <is>
          <t>South Michaelfort</t>
        </is>
      </c>
      <c r="F47" s="4" t="inlineStr">
        <is>
          <t>Vermont</t>
        </is>
      </c>
      <c r="G47" s="4" t="inlineStr">
        <is>
          <t>USA</t>
        </is>
      </c>
      <c r="H47" s="4" t="inlineStr">
        <is>
          <t>Gold</t>
        </is>
      </c>
      <c r="I47" s="4" t="inlineStr">
        <is>
          <t>45-54</t>
        </is>
      </c>
    </row>
    <row r="48">
      <c r="A48" s="5" t="inlineStr">
        <is>
          <t>CUST1044</t>
        </is>
      </c>
      <c r="B48" s="5" t="inlineStr">
        <is>
          <t>Denise Williams</t>
        </is>
      </c>
      <c r="C48" s="5" t="n">
        <v>34</v>
      </c>
      <c r="D48" s="5" t="inlineStr">
        <is>
          <t>Male</t>
        </is>
      </c>
      <c r="E48" s="5" t="inlineStr">
        <is>
          <t>Christianstad</t>
        </is>
      </c>
      <c r="F48" s="5" t="inlineStr">
        <is>
          <t>Hawaii</t>
        </is>
      </c>
      <c r="G48" s="5" t="inlineStr">
        <is>
          <t>USA</t>
        </is>
      </c>
      <c r="H48" s="5" t="inlineStr">
        <is>
          <t>Bronze</t>
        </is>
      </c>
      <c r="I48" s="5" t="inlineStr">
        <is>
          <t>25-34</t>
        </is>
      </c>
    </row>
    <row r="49">
      <c r="A49" s="4" t="inlineStr">
        <is>
          <t>CUST1045</t>
        </is>
      </c>
      <c r="B49" s="4" t="inlineStr">
        <is>
          <t>Jordan Jackson</t>
        </is>
      </c>
      <c r="C49" s="4" t="n">
        <v>54</v>
      </c>
      <c r="D49" s="4" t="inlineStr">
        <is>
          <t>Male</t>
        </is>
      </c>
      <c r="E49" s="4" t="inlineStr">
        <is>
          <t>North Johnview</t>
        </is>
      </c>
      <c r="F49" s="4" t="inlineStr">
        <is>
          <t>Arizona</t>
        </is>
      </c>
      <c r="G49" s="4" t="inlineStr">
        <is>
          <t>USA</t>
        </is>
      </c>
      <c r="H49" s="4" t="inlineStr">
        <is>
          <t>Gold</t>
        </is>
      </c>
      <c r="I49" s="4" t="inlineStr">
        <is>
          <t>45-54</t>
        </is>
      </c>
    </row>
    <row r="50">
      <c r="A50" s="5" t="inlineStr">
        <is>
          <t>CUST1046</t>
        </is>
      </c>
      <c r="B50" s="5" t="inlineStr">
        <is>
          <t>Michelle Garcia</t>
        </is>
      </c>
      <c r="C50" s="5" t="n">
        <v>55</v>
      </c>
      <c r="D50" s="5" t="inlineStr">
        <is>
          <t>Female</t>
        </is>
      </c>
      <c r="E50" s="5" t="inlineStr">
        <is>
          <t>Perezbury</t>
        </is>
      </c>
      <c r="F50" s="5" t="inlineStr">
        <is>
          <t>Ohio</t>
        </is>
      </c>
      <c r="G50" s="5" t="inlineStr">
        <is>
          <t>USA</t>
        </is>
      </c>
      <c r="H50" s="5" t="inlineStr">
        <is>
          <t>Platinum</t>
        </is>
      </c>
      <c r="I50" s="5" t="inlineStr">
        <is>
          <t>55-64</t>
        </is>
      </c>
    </row>
    <row r="51">
      <c r="A51" s="4" t="inlineStr">
        <is>
          <t>CUST1047</t>
        </is>
      </c>
      <c r="B51" s="4" t="inlineStr">
        <is>
          <t>Gina Knight</t>
        </is>
      </c>
      <c r="C51" s="4" t="n">
        <v>54</v>
      </c>
      <c r="D51" s="4" t="inlineStr">
        <is>
          <t>Female</t>
        </is>
      </c>
      <c r="E51" s="4" t="inlineStr">
        <is>
          <t>Lake Roberthaven</t>
        </is>
      </c>
      <c r="F51" s="4" t="inlineStr">
        <is>
          <t>Nevada</t>
        </is>
      </c>
      <c r="G51" s="4" t="inlineStr">
        <is>
          <t>USA</t>
        </is>
      </c>
      <c r="H51" s="4" t="inlineStr">
        <is>
          <t>Silver</t>
        </is>
      </c>
      <c r="I51" s="4" t="inlineStr">
        <is>
          <t>45-54</t>
        </is>
      </c>
    </row>
    <row r="52">
      <c r="A52" s="5" t="inlineStr">
        <is>
          <t>CUST1048</t>
        </is>
      </c>
      <c r="B52" s="5" t="inlineStr">
        <is>
          <t>April Mullins</t>
        </is>
      </c>
      <c r="C52" s="5" t="n">
        <v>54</v>
      </c>
      <c r="D52" s="5" t="inlineStr">
        <is>
          <t>Male</t>
        </is>
      </c>
      <c r="E52" s="5" t="inlineStr">
        <is>
          <t>Dawsonbury</t>
        </is>
      </c>
      <c r="F52" s="5" t="inlineStr">
        <is>
          <t>North Carolina</t>
        </is>
      </c>
      <c r="G52" s="5" t="inlineStr">
        <is>
          <t>USA</t>
        </is>
      </c>
      <c r="H52" s="5" t="inlineStr">
        <is>
          <t>Platinum</t>
        </is>
      </c>
      <c r="I52" s="5" t="inlineStr">
        <is>
          <t>45-54</t>
        </is>
      </c>
    </row>
    <row r="53">
      <c r="A53" s="4" t="inlineStr">
        <is>
          <t>CUST1049</t>
        </is>
      </c>
      <c r="B53" s="4" t="inlineStr">
        <is>
          <t>Timothy Weaver</t>
        </is>
      </c>
      <c r="C53" s="4" t="n">
        <v>45</v>
      </c>
      <c r="D53" s="4" t="inlineStr">
        <is>
          <t>Female</t>
        </is>
      </c>
      <c r="E53" s="4" t="inlineStr">
        <is>
          <t>New Amy</t>
        </is>
      </c>
      <c r="F53" s="4" t="inlineStr">
        <is>
          <t>Ohio</t>
        </is>
      </c>
      <c r="G53" s="4" t="inlineStr">
        <is>
          <t>USA</t>
        </is>
      </c>
      <c r="H53" s="4" t="inlineStr">
        <is>
          <t>Gold</t>
        </is>
      </c>
      <c r="I53" s="4" t="inlineStr">
        <is>
          <t>45-54</t>
        </is>
      </c>
    </row>
    <row r="54">
      <c r="A54" s="5" t="inlineStr">
        <is>
          <t>CUST1050</t>
        </is>
      </c>
      <c r="B54" s="5" t="inlineStr">
        <is>
          <t>Matthew Hunter</t>
        </is>
      </c>
      <c r="C54" s="5" t="n">
        <v>61</v>
      </c>
      <c r="D54" s="5" t="inlineStr">
        <is>
          <t>Female</t>
        </is>
      </c>
      <c r="E54" s="5" t="inlineStr">
        <is>
          <t>Gregoryview</t>
        </is>
      </c>
      <c r="F54" s="5" t="inlineStr">
        <is>
          <t>Illinois</t>
        </is>
      </c>
      <c r="G54" s="5" t="inlineStr">
        <is>
          <t>USA</t>
        </is>
      </c>
      <c r="H54" s="5" t="inlineStr">
        <is>
          <t>Gold</t>
        </is>
      </c>
      <c r="I54" s="5" t="inlineStr">
        <is>
          <t>55-64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30" customWidth="1" min="5" max="5"/>
    <col width="10" customWidth="1" min="6" max="6"/>
    <col width="8" customWidth="1" min="7" max="7"/>
  </cols>
  <sheetData>
    <row r="1" ht="28" customHeight="1">
      <c r="A1" s="1" t="inlineStr">
        <is>
          <t>RAW PRODUCT DATA (Original — Before Cleaning)</t>
        </is>
      </c>
    </row>
    <row r="3" ht="30" customHeight="1">
      <c r="A3" s="2" t="inlineStr">
        <is>
          <t>Product_ID</t>
        </is>
      </c>
      <c r="B3" s="2" t="inlineStr">
        <is>
          <t>Product_Name</t>
        </is>
      </c>
      <c r="C3" s="2" t="inlineStr">
        <is>
          <t>Category</t>
        </is>
      </c>
      <c r="D3" s="2" t="inlineStr">
        <is>
          <t>Sub_Category</t>
        </is>
      </c>
      <c r="E3" s="2" t="inlineStr">
        <is>
          <t>Brand</t>
        </is>
      </c>
      <c r="F3" s="2" t="inlineStr">
        <is>
          <t>Cost</t>
        </is>
      </c>
      <c r="G3" s="2" t="inlineStr">
        <is>
          <t>Stock</t>
        </is>
      </c>
    </row>
    <row r="4">
      <c r="A4" s="5" t="inlineStr">
        <is>
          <t>PROD0</t>
        </is>
      </c>
      <c r="B4" s="5" t="inlineStr">
        <is>
          <t>Brother Laser Printer</t>
        </is>
      </c>
      <c r="C4" s="5" t="inlineStr">
        <is>
          <t>Electronics</t>
        </is>
      </c>
      <c r="D4" s="5" t="inlineStr">
        <is>
          <t>Computer</t>
        </is>
      </c>
      <c r="E4" s="5" t="inlineStr">
        <is>
          <t>Hunt Inc</t>
        </is>
      </c>
      <c r="F4" s="5" t="n">
        <v>112.42</v>
      </c>
      <c r="G4" s="5" t="n">
        <v>416</v>
      </c>
    </row>
    <row r="5">
      <c r="A5" s="4" t="inlineStr">
        <is>
          <t>PROD1</t>
        </is>
      </c>
      <c r="B5" s="4" t="inlineStr">
        <is>
          <t>Men's Graphic T-Shirt</t>
        </is>
      </c>
      <c r="C5" s="4" t="inlineStr">
        <is>
          <t>Clothing</t>
        </is>
      </c>
      <c r="D5" s="4" t="inlineStr">
        <is>
          <t>Tops</t>
        </is>
      </c>
      <c r="E5" s="4" t="inlineStr">
        <is>
          <t>Terry-Moore</t>
        </is>
      </c>
      <c r="F5" s="4" t="n">
        <v>342.56</v>
      </c>
      <c r="G5" s="4" t="n">
        <v>181</v>
      </c>
    </row>
    <row r="6">
      <c r="A6" s="3" t="inlineStr">
        <is>
          <t>PROD2</t>
        </is>
      </c>
      <c r="B6" s="3" t="inlineStr">
        <is>
          <t>Women's Casual Hoodie</t>
        </is>
      </c>
      <c r="C6" s="3" t="inlineStr">
        <is>
          <t>Clothing</t>
        </is>
      </c>
      <c r="D6" s="3" t="inlineStr">
        <is>
          <t>Outerwear</t>
        </is>
      </c>
      <c r="E6" s="3" t="inlineStr">
        <is>
          <t>Sims Inc</t>
        </is>
      </c>
      <c r="F6" s="10" t="inlineStr">
        <is>
          <t>MISSING</t>
        </is>
      </c>
      <c r="G6" s="3" t="n">
        <v>352</v>
      </c>
    </row>
    <row r="7">
      <c r="A7" s="3" t="inlineStr">
        <is>
          <t>P-3</t>
        </is>
      </c>
      <c r="B7" s="3" t="inlineStr">
        <is>
          <t>Men's Running Jacket</t>
        </is>
      </c>
      <c r="C7" s="3" t="inlineStr">
        <is>
          <t>Clothing</t>
        </is>
      </c>
      <c r="D7" s="3" t="inlineStr">
        <is>
          <t>Outerwear</t>
        </is>
      </c>
      <c r="E7" s="3" t="inlineStr">
        <is>
          <t>Pineda Ltd</t>
        </is>
      </c>
      <c r="F7" s="3" t="n">
        <v>364.67</v>
      </c>
      <c r="G7" s="3" t="n">
        <v>452</v>
      </c>
    </row>
    <row r="8">
      <c r="A8" s="5" t="inlineStr">
        <is>
          <t>PROD4</t>
        </is>
      </c>
      <c r="B8" s="5" t="inlineStr">
        <is>
          <t>Women's Yoga Pants</t>
        </is>
      </c>
      <c r="C8" s="5" t="inlineStr">
        <is>
          <t>Clothing</t>
        </is>
      </c>
      <c r="D8" s="5" t="inlineStr">
        <is>
          <t>Bottoms</t>
        </is>
      </c>
      <c r="E8" s="5" t="inlineStr">
        <is>
          <t>Gonzales-Davis</t>
        </is>
      </c>
      <c r="F8" s="5" t="n">
        <v>306.46</v>
      </c>
      <c r="G8" s="5" t="n">
        <v>487</v>
      </c>
    </row>
    <row r="9">
      <c r="A9" s="4" t="inlineStr">
        <is>
          <t>PROD5</t>
        </is>
      </c>
      <c r="B9" s="4" t="inlineStr">
        <is>
          <t>Men's Leather Belt</t>
        </is>
      </c>
      <c r="C9" s="4" t="inlineStr">
        <is>
          <t>Clothing</t>
        </is>
      </c>
      <c r="D9" s="4" t="inlineStr">
        <is>
          <t>Accessories</t>
        </is>
      </c>
      <c r="E9" s="4" t="inlineStr">
        <is>
          <t>Baldwin, Garza and Gonzalez</t>
        </is>
      </c>
      <c r="F9" s="4" t="n">
        <v>261</v>
      </c>
      <c r="G9" s="4" t="n">
        <v>59</v>
      </c>
    </row>
    <row r="10">
      <c r="A10" s="5" t="inlineStr">
        <is>
          <t>PROD6</t>
        </is>
      </c>
      <c r="B10" s="5" t="inlineStr">
        <is>
          <t>Herbal Face Moisturizer</t>
        </is>
      </c>
      <c r="C10" s="5" t="inlineStr">
        <is>
          <t>Beauty</t>
        </is>
      </c>
      <c r="D10" s="5" t="inlineStr">
        <is>
          <t>Skincare</t>
        </is>
      </c>
      <c r="E10" s="5" t="inlineStr">
        <is>
          <t>Davidson PLC</t>
        </is>
      </c>
      <c r="F10" s="5" t="n">
        <v>312.8</v>
      </c>
      <c r="G10" s="5" t="n">
        <v>350</v>
      </c>
    </row>
    <row r="11">
      <c r="A11" s="4" t="inlineStr">
        <is>
          <t>PROD7</t>
        </is>
      </c>
      <c r="B11" s="4" t="inlineStr">
        <is>
          <t>LED Table Lamp</t>
        </is>
      </c>
      <c r="C11" s="4" t="inlineStr">
        <is>
          <t>Home</t>
        </is>
      </c>
      <c r="D11" s="4" t="inlineStr">
        <is>
          <t>Lighting</t>
        </is>
      </c>
      <c r="E11" s="4" t="inlineStr">
        <is>
          <t>Harrell LLC</t>
        </is>
      </c>
      <c r="F11" s="4" t="n">
        <v>218.86</v>
      </c>
      <c r="G11" s="4" t="n">
        <v>170</v>
      </c>
    </row>
    <row r="12">
      <c r="A12" s="5" t="inlineStr">
        <is>
          <t>PROD8</t>
        </is>
      </c>
      <c r="B12" s="5" t="inlineStr">
        <is>
          <t>Wireless Bluetooth Earbuds</t>
        </is>
      </c>
      <c r="C12" s="5" t="inlineStr">
        <is>
          <t>Electronics</t>
        </is>
      </c>
      <c r="D12" s="5" t="inlineStr">
        <is>
          <t>Audio</t>
        </is>
      </c>
      <c r="E12" s="5" t="inlineStr">
        <is>
          <t>Perez-Johnston</t>
        </is>
      </c>
      <c r="F12" s="5" t="n">
        <v>439.07</v>
      </c>
      <c r="G12" s="5" t="n">
        <v>142</v>
      </c>
    </row>
    <row r="13">
      <c r="A13" s="4" t="inlineStr">
        <is>
          <t>PROD9</t>
        </is>
      </c>
      <c r="B13" s="4" t="inlineStr">
        <is>
          <t>Adjustable Dumbbell Set</t>
        </is>
      </c>
      <c r="C13" s="4" t="inlineStr">
        <is>
          <t>Sports</t>
        </is>
      </c>
      <c r="D13" s="4" t="inlineStr">
        <is>
          <t>Fitness</t>
        </is>
      </c>
      <c r="E13" s="4" t="inlineStr">
        <is>
          <t>Hill PLC</t>
        </is>
      </c>
      <c r="F13" s="4" t="n">
        <v>495.72</v>
      </c>
      <c r="G13" s="4" t="n">
        <v>323</v>
      </c>
    </row>
    <row r="14">
      <c r="A14" s="5" t="inlineStr">
        <is>
          <t>PROD10</t>
        </is>
      </c>
      <c r="B14" s="5" t="inlineStr">
        <is>
          <t>Ceramic Kitchen Bowl Set</t>
        </is>
      </c>
      <c r="C14" s="5" t="inlineStr">
        <is>
          <t>Home</t>
        </is>
      </c>
      <c r="D14" s="5" t="inlineStr">
        <is>
          <t>Kitchen</t>
        </is>
      </c>
      <c r="E14" s="5" t="inlineStr">
        <is>
          <t>Hamilton Group</t>
        </is>
      </c>
      <c r="F14" s="5" t="n">
        <v>298.86</v>
      </c>
      <c r="G14" s="5" t="n">
        <v>308</v>
      </c>
    </row>
    <row r="15">
      <c r="A15" s="3" t="inlineStr">
        <is>
          <t>PROD11</t>
        </is>
      </c>
      <c r="B15" s="3" t="inlineStr">
        <is>
          <t>HD Smart TV Stick</t>
        </is>
      </c>
      <c r="C15" s="3" t="inlineStr">
        <is>
          <t>Electronics</t>
        </is>
      </c>
      <c r="D15" s="3" t="inlineStr">
        <is>
          <t>Accessories</t>
        </is>
      </c>
      <c r="E15" s="3" t="inlineStr">
        <is>
          <t>Gibson, Hobbs and Weaver</t>
        </is>
      </c>
      <c r="F15" s="3" t="n">
        <v>449.4</v>
      </c>
      <c r="G15" s="10" t="inlineStr">
        <is>
          <t>MISSING</t>
        </is>
      </c>
    </row>
    <row r="16">
      <c r="A16" s="5" t="inlineStr">
        <is>
          <t>PROD12</t>
        </is>
      </c>
      <c r="B16" s="5" t="inlineStr">
        <is>
          <t>Hair Strengthening Shampoo</t>
        </is>
      </c>
      <c r="C16" s="5" t="inlineStr">
        <is>
          <t>Beauty</t>
        </is>
      </c>
      <c r="D16" s="5" t="inlineStr">
        <is>
          <t>Haircare</t>
        </is>
      </c>
      <c r="E16" s="5" t="inlineStr">
        <is>
          <t>Rice LLC</t>
        </is>
      </c>
      <c r="F16" s="5" t="n">
        <v>115.82</v>
      </c>
      <c r="G16" s="5" t="n">
        <v>460</v>
      </c>
    </row>
    <row r="17">
      <c r="A17" s="4" t="inlineStr">
        <is>
          <t>PROD13</t>
        </is>
      </c>
      <c r="B17" s="4" t="inlineStr">
        <is>
          <t>USB-C Fast Charger</t>
        </is>
      </c>
      <c r="C17" s="4" t="inlineStr">
        <is>
          <t>Electronics</t>
        </is>
      </c>
      <c r="D17" s="4" t="inlineStr">
        <is>
          <t>Accessories</t>
        </is>
      </c>
      <c r="E17" s="4" t="inlineStr">
        <is>
          <t>Dawson-Perkins</t>
        </is>
      </c>
      <c r="F17" s="4" t="n">
        <v>242.23</v>
      </c>
      <c r="G17" s="4" t="n">
        <v>453</v>
      </c>
    </row>
    <row r="18">
      <c r="A18" s="5" t="inlineStr">
        <is>
          <t>PROD14</t>
        </is>
      </c>
      <c r="B18" s="5" t="inlineStr">
        <is>
          <t>Decorative Wall Mirror</t>
        </is>
      </c>
      <c r="C18" s="5" t="inlineStr">
        <is>
          <t>Home</t>
        </is>
      </c>
      <c r="D18" s="5" t="inlineStr">
        <is>
          <t>Decor</t>
        </is>
      </c>
      <c r="E18" s="5" t="inlineStr">
        <is>
          <t>Luna, Anderson and Bowman</t>
        </is>
      </c>
      <c r="F18" s="5" t="n">
        <v>48.01</v>
      </c>
      <c r="G18" s="5" t="n">
        <v>439</v>
      </c>
    </row>
    <row r="19">
      <c r="A19" s="4" t="inlineStr">
        <is>
          <t>PROD15</t>
        </is>
      </c>
      <c r="B19" s="4" t="inlineStr">
        <is>
          <t>4K Home Projector</t>
        </is>
      </c>
      <c r="C19" s="4" t="inlineStr">
        <is>
          <t>Electronics</t>
        </is>
      </c>
      <c r="D19" s="4" t="inlineStr">
        <is>
          <t>Appliances</t>
        </is>
      </c>
      <c r="E19" s="4" t="inlineStr">
        <is>
          <t>Thomas LLC</t>
        </is>
      </c>
      <c r="F19" s="4" t="n">
        <v>465.34</v>
      </c>
      <c r="G19" s="4" t="n">
        <v>301</v>
      </c>
    </row>
    <row r="20">
      <c r="A20" s="3" t="inlineStr">
        <is>
          <t>P-16</t>
        </is>
      </c>
      <c r="B20" s="3" t="inlineStr">
        <is>
          <t>Beard Grooming Kit</t>
        </is>
      </c>
      <c r="C20" s="3" t="inlineStr">
        <is>
          <t>Beauty</t>
        </is>
      </c>
      <c r="D20" s="3" t="inlineStr">
        <is>
          <t>Grooming</t>
        </is>
      </c>
      <c r="E20" s="3" t="inlineStr">
        <is>
          <t>Erickson-Green</t>
        </is>
      </c>
      <c r="F20" s="3" t="n">
        <v>337.42</v>
      </c>
      <c r="G20" s="3" t="n">
        <v>256</v>
      </c>
    </row>
    <row r="21">
      <c r="A21" s="4" t="inlineStr">
        <is>
          <t>PROD17</t>
        </is>
      </c>
      <c r="B21" s="4" t="inlineStr">
        <is>
          <t>Soccer Training Cone Set</t>
        </is>
      </c>
      <c r="C21" s="4" t="inlineStr">
        <is>
          <t>Sports</t>
        </is>
      </c>
      <c r="D21" s="4" t="inlineStr">
        <is>
          <t>Accessories</t>
        </is>
      </c>
      <c r="E21" s="4" t="inlineStr">
        <is>
          <t>Ford, Murphy and Wilson</t>
        </is>
      </c>
      <c r="F21" s="4" t="n">
        <v>144.53</v>
      </c>
      <c r="G21" s="4" t="n">
        <v>367</v>
      </c>
    </row>
    <row r="22">
      <c r="A22" s="3" t="inlineStr">
        <is>
          <t>PROD18</t>
        </is>
      </c>
      <c r="B22" s="3" t="inlineStr">
        <is>
          <t>Women's Denim Jeans</t>
        </is>
      </c>
      <c r="C22" s="3" t="inlineStr">
        <is>
          <t>Clothing</t>
        </is>
      </c>
      <c r="D22" s="3" t="inlineStr">
        <is>
          <t>Bottoms</t>
        </is>
      </c>
      <c r="E22" s="3" t="inlineStr">
        <is>
          <t>Guerra-Hendrix</t>
        </is>
      </c>
      <c r="F22" s="10" t="inlineStr">
        <is>
          <t>MISSING</t>
        </is>
      </c>
      <c r="G22" s="3" t="n">
        <v>343</v>
      </c>
    </row>
    <row r="23">
      <c r="A23" s="4" t="inlineStr">
        <is>
          <t>PROD19</t>
        </is>
      </c>
      <c r="B23" s="4" t="inlineStr">
        <is>
          <t>Knee Support Brace</t>
        </is>
      </c>
      <c r="C23" s="4" t="inlineStr">
        <is>
          <t>Sports</t>
        </is>
      </c>
      <c r="D23" s="4" t="inlineStr">
        <is>
          <t>Equipment</t>
        </is>
      </c>
      <c r="E23" s="4" t="inlineStr">
        <is>
          <t>May-Reese</t>
        </is>
      </c>
      <c r="F23" s="4" t="n">
        <v>21.34</v>
      </c>
      <c r="G23" s="4" t="n">
        <v>65</v>
      </c>
    </row>
    <row r="24">
      <c r="A24" s="3" t="inlineStr">
        <is>
          <t>PROD20</t>
        </is>
      </c>
      <c r="B24" s="3" t="inlineStr">
        <is>
          <t>Outdoor Sports Water Bottle</t>
        </is>
      </c>
      <c r="C24" s="3" t="inlineStr">
        <is>
          <t>Sports</t>
        </is>
      </c>
      <c r="D24" s="3" t="inlineStr">
        <is>
          <t>Accessories</t>
        </is>
      </c>
      <c r="E24" s="3" t="inlineStr">
        <is>
          <t>Soto-Ellis</t>
        </is>
      </c>
      <c r="F24" s="3" t="n">
        <v>131.51</v>
      </c>
      <c r="G24" s="10" t="inlineStr">
        <is>
          <t>MISSING</t>
        </is>
      </c>
    </row>
    <row r="25">
      <c r="A25" s="4" t="inlineStr">
        <is>
          <t>PROD21</t>
        </is>
      </c>
      <c r="B25" s="4" t="inlineStr">
        <is>
          <t>Multi-Purpose Storage Box</t>
        </is>
      </c>
      <c r="C25" s="4" t="inlineStr">
        <is>
          <t>Home</t>
        </is>
      </c>
      <c r="D25" s="4" t="inlineStr">
        <is>
          <t>Storage</t>
        </is>
      </c>
      <c r="E25" s="4" t="inlineStr">
        <is>
          <t>Gardner-Montes</t>
        </is>
      </c>
      <c r="F25" s="4" t="n">
        <v>123.46</v>
      </c>
      <c r="G25" s="4" t="n">
        <v>76</v>
      </c>
    </row>
    <row r="26">
      <c r="A26" s="5" t="inlineStr">
        <is>
          <t>PROD22</t>
        </is>
      </c>
      <c r="B26" s="5" t="inlineStr">
        <is>
          <t>Carbon Fiber Tennis Racket</t>
        </is>
      </c>
      <c r="C26" s="5" t="inlineStr">
        <is>
          <t>Sports</t>
        </is>
      </c>
      <c r="D26" s="5" t="inlineStr">
        <is>
          <t>Equipment</t>
        </is>
      </c>
      <c r="E26" s="5" t="inlineStr">
        <is>
          <t>Flores, Pineda and Rodriguez</t>
        </is>
      </c>
      <c r="F26" s="5" t="n">
        <v>484.62</v>
      </c>
      <c r="G26" s="5" t="n">
        <v>432</v>
      </c>
    </row>
    <row r="27">
      <c r="A27" s="3" t="inlineStr">
        <is>
          <t>PROD23</t>
        </is>
      </c>
      <c r="B27" s="3" t="inlineStr">
        <is>
          <t>Men's Formal Shirt</t>
        </is>
      </c>
      <c r="C27" s="3" t="inlineStr">
        <is>
          <t>Clothing</t>
        </is>
      </c>
      <c r="D27" s="3" t="inlineStr">
        <is>
          <t>Tops</t>
        </is>
      </c>
      <c r="E27" s="3" t="inlineStr">
        <is>
          <t>Moon, Mora and Santos</t>
        </is>
      </c>
      <c r="F27" s="10" t="inlineStr">
        <is>
          <t>MISSING</t>
        </is>
      </c>
      <c r="G27" s="3" t="n">
        <v>360</v>
      </c>
    </row>
    <row r="28">
      <c r="A28" s="5" t="inlineStr">
        <is>
          <t>PROD24</t>
        </is>
      </c>
      <c r="B28" s="5" t="inlineStr">
        <is>
          <t>Foldable Camping Chair</t>
        </is>
      </c>
      <c r="C28" s="5" t="inlineStr">
        <is>
          <t>Sports</t>
        </is>
      </c>
      <c r="D28" s="5" t="inlineStr">
        <is>
          <t>Outdoor</t>
        </is>
      </c>
      <c r="E28" s="5" t="inlineStr">
        <is>
          <t>Cook Ltd</t>
        </is>
      </c>
      <c r="F28" s="5" t="n">
        <v>166.06</v>
      </c>
      <c r="G28" s="5" t="n">
        <v>340</v>
      </c>
    </row>
    <row r="29">
      <c r="A29" s="4" t="inlineStr">
        <is>
          <t>PROD25</t>
        </is>
      </c>
      <c r="B29" s="4" t="inlineStr">
        <is>
          <t>Women's Scarf Set</t>
        </is>
      </c>
      <c r="C29" s="4" t="inlineStr">
        <is>
          <t>Clothing</t>
        </is>
      </c>
      <c r="D29" s="4" t="inlineStr">
        <is>
          <t>Accessories</t>
        </is>
      </c>
      <c r="E29" s="4" t="inlineStr">
        <is>
          <t>Brown and Sons</t>
        </is>
      </c>
      <c r="F29" s="4" t="n">
        <v>174.02</v>
      </c>
      <c r="G29" s="4" t="n">
        <v>268</v>
      </c>
    </row>
    <row r="30">
      <c r="A30" s="5" t="inlineStr">
        <is>
          <t>PROD26</t>
        </is>
      </c>
      <c r="B30" s="5" t="inlineStr">
        <is>
          <t>Wireless Bluetooth Speaker</t>
        </is>
      </c>
      <c r="C30" s="5" t="inlineStr">
        <is>
          <t>Electronics</t>
        </is>
      </c>
      <c r="D30" s="5" t="inlineStr">
        <is>
          <t>Audio</t>
        </is>
      </c>
      <c r="E30" s="5" t="inlineStr">
        <is>
          <t>Reed-Schmidt</t>
        </is>
      </c>
      <c r="F30" s="5" t="n">
        <v>322.41</v>
      </c>
      <c r="G30" s="5" t="n">
        <v>213</v>
      </c>
    </row>
    <row r="31">
      <c r="A31" s="3" t="inlineStr">
        <is>
          <t>PROD27</t>
        </is>
      </c>
      <c r="B31" s="3" t="inlineStr">
        <is>
          <t>Decorative Floor Vase</t>
        </is>
      </c>
      <c r="C31" s="3" t="inlineStr">
        <is>
          <t>Home</t>
        </is>
      </c>
      <c r="D31" s="3" t="inlineStr">
        <is>
          <t>Decor</t>
        </is>
      </c>
      <c r="E31" s="3" t="inlineStr">
        <is>
          <t>Khan, Jones and Paul</t>
        </is>
      </c>
      <c r="F31" s="10" t="inlineStr">
        <is>
          <t>MISSING</t>
        </is>
      </c>
      <c r="G31" s="3" t="n">
        <v>378</v>
      </c>
    </row>
    <row r="32">
      <c r="A32" s="5" t="inlineStr">
        <is>
          <t>PROD28</t>
        </is>
      </c>
      <c r="B32" s="5" t="inlineStr">
        <is>
          <t>Sports Stopwatch Timer</t>
        </is>
      </c>
      <c r="C32" s="5" t="inlineStr">
        <is>
          <t>Sports</t>
        </is>
      </c>
      <c r="D32" s="5" t="inlineStr">
        <is>
          <t>Accessories</t>
        </is>
      </c>
      <c r="E32" s="5" t="inlineStr">
        <is>
          <t>Burns-Hansen</t>
        </is>
      </c>
      <c r="F32" s="5" t="n">
        <v>38.76</v>
      </c>
      <c r="G32" s="5" t="n">
        <v>137</v>
      </c>
    </row>
    <row r="33">
      <c r="A33" s="4" t="inlineStr">
        <is>
          <t>PROD29</t>
        </is>
      </c>
      <c r="B33" s="4" t="inlineStr">
        <is>
          <t>Fabric Sofa Throw Blanket</t>
        </is>
      </c>
      <c r="C33" s="4" t="inlineStr">
        <is>
          <t>Home</t>
        </is>
      </c>
      <c r="D33" s="4" t="inlineStr">
        <is>
          <t>Decor</t>
        </is>
      </c>
      <c r="E33" s="4" t="inlineStr">
        <is>
          <t>Hoffman Group</t>
        </is>
      </c>
      <c r="F33" s="4" t="n">
        <v>218.48</v>
      </c>
      <c r="G33" s="4" t="n">
        <v>276</v>
      </c>
    </row>
    <row r="34">
      <c r="A34" s="5" t="inlineStr">
        <is>
          <t>PROD30</t>
        </is>
      </c>
      <c r="B34" s="5" t="inlineStr">
        <is>
          <t>Stainless Steel Cutlery Set</t>
        </is>
      </c>
      <c r="C34" s="5" t="inlineStr">
        <is>
          <t>Home</t>
        </is>
      </c>
      <c r="D34" s="5" t="inlineStr">
        <is>
          <t>Kitchen</t>
        </is>
      </c>
      <c r="E34" s="5" t="inlineStr">
        <is>
          <t>Stevens, Fernandez and Martin</t>
        </is>
      </c>
      <c r="F34" s="5" t="n">
        <v>19.52</v>
      </c>
      <c r="G34" s="5" t="n">
        <v>57</v>
      </c>
    </row>
    <row r="35">
      <c r="A35" s="4" t="inlineStr">
        <is>
          <t>PROD31</t>
        </is>
      </c>
      <c r="B35" s="4" t="inlineStr">
        <is>
          <t>Basketball</t>
        </is>
      </c>
      <c r="C35" s="4" t="inlineStr">
        <is>
          <t>Sports</t>
        </is>
      </c>
      <c r="D35" s="4" t="inlineStr">
        <is>
          <t>Team Sports</t>
        </is>
      </c>
      <c r="E35" s="4" t="inlineStr">
        <is>
          <t>Nolan-Snow</t>
        </is>
      </c>
      <c r="F35" s="4" t="n">
        <v>204.39</v>
      </c>
      <c r="G35" s="4" t="n">
        <v>281</v>
      </c>
    </row>
    <row r="36">
      <c r="A36" s="5" t="inlineStr">
        <is>
          <t>PROD32</t>
        </is>
      </c>
      <c r="B36" s="5" t="inlineStr">
        <is>
          <t>Vitamin C Face Serum</t>
        </is>
      </c>
      <c r="C36" s="5" t="inlineStr">
        <is>
          <t>Beauty</t>
        </is>
      </c>
      <c r="D36" s="5" t="inlineStr">
        <is>
          <t>Skincare</t>
        </is>
      </c>
      <c r="E36" s="5" t="inlineStr">
        <is>
          <t>Griffin Ltd</t>
        </is>
      </c>
      <c r="F36" s="5" t="n">
        <v>283.83</v>
      </c>
      <c r="G36" s="5" t="n">
        <v>244</v>
      </c>
    </row>
    <row r="37">
      <c r="A37" s="4" t="inlineStr">
        <is>
          <t>PROD33</t>
        </is>
      </c>
      <c r="B37" s="4" t="inlineStr">
        <is>
          <t>Modern Wall Clock</t>
        </is>
      </c>
      <c r="C37" s="4" t="inlineStr">
        <is>
          <t>Home</t>
        </is>
      </c>
      <c r="D37" s="4" t="inlineStr">
        <is>
          <t>Decor</t>
        </is>
      </c>
      <c r="E37" s="4" t="inlineStr">
        <is>
          <t>Weiss-Watson</t>
        </is>
      </c>
      <c r="F37" s="4" t="n">
        <v>179.77</v>
      </c>
      <c r="G37" s="4" t="n">
        <v>305</v>
      </c>
    </row>
    <row r="38">
      <c r="A38" s="5" t="inlineStr">
        <is>
          <t>PROD34</t>
        </is>
      </c>
      <c r="B38" s="5" t="inlineStr">
        <is>
          <t>Gaming Mechanical Keyboard</t>
        </is>
      </c>
      <c r="C38" s="5" t="inlineStr">
        <is>
          <t>Electronics</t>
        </is>
      </c>
      <c r="D38" s="5" t="inlineStr">
        <is>
          <t>Computer</t>
        </is>
      </c>
      <c r="E38" s="5" t="inlineStr">
        <is>
          <t>Lucero LLC</t>
        </is>
      </c>
      <c r="F38" s="5" t="n">
        <v>419.28</v>
      </c>
      <c r="G38" s="5" t="n">
        <v>86</v>
      </c>
    </row>
    <row r="39">
      <c r="A39" s="4" t="inlineStr">
        <is>
          <t>PROD35</t>
        </is>
      </c>
      <c r="B39" s="4" t="inlineStr">
        <is>
          <t>Bedroom Table Lamp</t>
        </is>
      </c>
      <c r="C39" s="4" t="inlineStr">
        <is>
          <t>Home</t>
        </is>
      </c>
      <c r="D39" s="4" t="inlineStr">
        <is>
          <t>Lighting</t>
        </is>
      </c>
      <c r="E39" s="4" t="inlineStr">
        <is>
          <t>Jones LLC</t>
        </is>
      </c>
      <c r="F39" s="4" t="n">
        <v>382.22</v>
      </c>
      <c r="G39" s="4" t="n">
        <v>329</v>
      </c>
    </row>
    <row r="40">
      <c r="A40" s="5" t="inlineStr">
        <is>
          <t>PROD36</t>
        </is>
      </c>
      <c r="B40" s="5" t="inlineStr">
        <is>
          <t>Women's Summer Dress</t>
        </is>
      </c>
      <c r="C40" s="5" t="inlineStr">
        <is>
          <t>Clothing</t>
        </is>
      </c>
      <c r="D40" s="5" t="inlineStr">
        <is>
          <t>Tops</t>
        </is>
      </c>
      <c r="E40" s="5" t="inlineStr">
        <is>
          <t>Smith-Mills</t>
        </is>
      </c>
      <c r="F40" s="5" t="n">
        <v>223.43</v>
      </c>
      <c r="G40" s="5" t="n">
        <v>154</v>
      </c>
    </row>
    <row r="41">
      <c r="A41" s="4" t="inlineStr">
        <is>
          <t>PROD37</t>
        </is>
      </c>
      <c r="B41" s="4" t="inlineStr">
        <is>
          <t>Men's Casual Sneakers</t>
        </is>
      </c>
      <c r="C41" s="4" t="inlineStr">
        <is>
          <t>Clothing</t>
        </is>
      </c>
      <c r="D41" s="4" t="inlineStr">
        <is>
          <t>Footwear</t>
        </is>
      </c>
      <c r="E41" s="4" t="inlineStr">
        <is>
          <t>Hogan-Lee</t>
        </is>
      </c>
      <c r="F41" s="4" t="n">
        <v>353.47</v>
      </c>
      <c r="G41" s="4" t="n">
        <v>214</v>
      </c>
    </row>
    <row r="42">
      <c r="A42" s="5" t="inlineStr">
        <is>
          <t>PROD38</t>
        </is>
      </c>
      <c r="B42" s="5" t="inlineStr">
        <is>
          <t>Sports Water Hydration Pack</t>
        </is>
      </c>
      <c r="C42" s="5" t="inlineStr">
        <is>
          <t>Sports</t>
        </is>
      </c>
      <c r="D42" s="5" t="inlineStr">
        <is>
          <t>Outdoor</t>
        </is>
      </c>
      <c r="E42" s="5" t="inlineStr">
        <is>
          <t>Sims-Smith</t>
        </is>
      </c>
      <c r="F42" s="5" t="n">
        <v>135.61</v>
      </c>
      <c r="G42" s="5" t="n">
        <v>394</v>
      </c>
    </row>
    <row r="43">
      <c r="A43" s="4" t="inlineStr">
        <is>
          <t>PROD39</t>
        </is>
      </c>
      <c r="B43" s="4" t="inlineStr">
        <is>
          <t>Portable Power Bank</t>
        </is>
      </c>
      <c r="C43" s="4" t="inlineStr">
        <is>
          <t>Electronics</t>
        </is>
      </c>
      <c r="D43" s="4" t="inlineStr">
        <is>
          <t>Mobile</t>
        </is>
      </c>
      <c r="E43" s="4" t="inlineStr">
        <is>
          <t>Cummings and Sons</t>
        </is>
      </c>
      <c r="F43" s="4" t="n">
        <v>326.06</v>
      </c>
      <c r="G43" s="4" t="n">
        <v>301</v>
      </c>
    </row>
    <row r="44">
      <c r="A44" s="5" t="inlineStr">
        <is>
          <t>PROD40</t>
        </is>
      </c>
      <c r="B44" s="5" t="inlineStr">
        <is>
          <t>Noise-Canceling Headphones</t>
        </is>
      </c>
      <c r="C44" s="5" t="inlineStr">
        <is>
          <t>Electronics</t>
        </is>
      </c>
      <c r="D44" s="5" t="inlineStr">
        <is>
          <t>Audio</t>
        </is>
      </c>
      <c r="E44" s="5" t="inlineStr">
        <is>
          <t>Taylor-Hart</t>
        </is>
      </c>
      <c r="F44" s="5" t="n">
        <v>38.52</v>
      </c>
      <c r="G44" s="5" t="n">
        <v>378</v>
      </c>
    </row>
    <row r="45">
      <c r="A45" s="4" t="inlineStr">
        <is>
          <t>PROD41</t>
        </is>
      </c>
      <c r="B45" s="4" t="inlineStr">
        <is>
          <t>Yoga Exercise Mat</t>
        </is>
      </c>
      <c r="C45" s="4" t="inlineStr">
        <is>
          <t>Sports</t>
        </is>
      </c>
      <c r="D45" s="4" t="inlineStr">
        <is>
          <t>Fitness</t>
        </is>
      </c>
      <c r="E45" s="4" t="inlineStr">
        <is>
          <t>Carroll, Long and Mendoza</t>
        </is>
      </c>
      <c r="F45" s="4" t="n">
        <v>313.26</v>
      </c>
      <c r="G45" s="4" t="n">
        <v>369</v>
      </c>
    </row>
    <row r="46">
      <c r="A46" s="5" t="inlineStr">
        <is>
          <t>PROD42</t>
        </is>
      </c>
      <c r="B46" s="5" t="inlineStr">
        <is>
          <t>Smart Home WiFi Camera</t>
        </is>
      </c>
      <c r="C46" s="5" t="inlineStr">
        <is>
          <t>Electronics</t>
        </is>
      </c>
      <c r="D46" s="5" t="inlineStr">
        <is>
          <t>Accessories</t>
        </is>
      </c>
      <c r="E46" s="5" t="inlineStr">
        <is>
          <t>Holmes LLC</t>
        </is>
      </c>
      <c r="F46" s="5" t="n">
        <v>450.71</v>
      </c>
      <c r="G46" s="5" t="n">
        <v>389</v>
      </c>
    </row>
    <row r="47">
      <c r="A47" s="4" t="inlineStr">
        <is>
          <t>PROD43</t>
        </is>
      </c>
      <c r="B47" s="4" t="inlineStr">
        <is>
          <t>USB External Hard Drive</t>
        </is>
      </c>
      <c r="C47" s="4" t="inlineStr">
        <is>
          <t>Electronics</t>
        </is>
      </c>
      <c r="D47" s="4" t="inlineStr">
        <is>
          <t>Computer</t>
        </is>
      </c>
      <c r="E47" s="4" t="inlineStr">
        <is>
          <t>Robinson Inc</t>
        </is>
      </c>
      <c r="F47" s="4" t="n">
        <v>253.33</v>
      </c>
      <c r="G47" s="4" t="n">
        <v>266</v>
      </c>
    </row>
    <row r="48">
      <c r="A48" s="5" t="inlineStr">
        <is>
          <t>PROD44</t>
        </is>
      </c>
      <c r="B48" s="5" t="inlineStr">
        <is>
          <t>Adjustable Jump Rope</t>
        </is>
      </c>
      <c r="C48" s="5" t="inlineStr">
        <is>
          <t>Sports</t>
        </is>
      </c>
      <c r="D48" s="5" t="inlineStr">
        <is>
          <t>Fitness</t>
        </is>
      </c>
      <c r="E48" s="5" t="inlineStr">
        <is>
          <t>Cox Inc</t>
        </is>
      </c>
      <c r="F48" s="5" t="n">
        <v>167.12</v>
      </c>
      <c r="G48" s="5" t="n">
        <v>316</v>
      </c>
    </row>
    <row r="49">
      <c r="A49" s="4" t="inlineStr">
        <is>
          <t>PROD45</t>
        </is>
      </c>
      <c r="B49" s="4" t="inlineStr">
        <is>
          <t>High-Grip Football</t>
        </is>
      </c>
      <c r="C49" s="4" t="inlineStr">
        <is>
          <t>Sports</t>
        </is>
      </c>
      <c r="D49" s="4" t="inlineStr">
        <is>
          <t>Team Sports</t>
        </is>
      </c>
      <c r="E49" s="4" t="inlineStr">
        <is>
          <t>Bridges, Banks and Cummings</t>
        </is>
      </c>
      <c r="F49" s="4" t="n">
        <v>318.91</v>
      </c>
      <c r="G49" s="4" t="n">
        <v>114</v>
      </c>
    </row>
    <row r="50">
      <c r="A50" s="5" t="inlineStr">
        <is>
          <t>PROD46</t>
        </is>
      </c>
      <c r="B50" s="5" t="inlineStr">
        <is>
          <t>Men's Winter Jacket</t>
        </is>
      </c>
      <c r="C50" s="5" t="inlineStr">
        <is>
          <t>Clothing</t>
        </is>
      </c>
      <c r="D50" s="5" t="inlineStr">
        <is>
          <t>Outerwear</t>
        </is>
      </c>
      <c r="E50" s="5" t="inlineStr">
        <is>
          <t>Kelly, Smith and Perez</t>
        </is>
      </c>
      <c r="F50" s="5" t="n">
        <v>167.34</v>
      </c>
      <c r="G50" s="5" t="n">
        <v>296</v>
      </c>
    </row>
    <row r="51">
      <c r="A51" s="3" t="inlineStr">
        <is>
          <t>PROD47</t>
        </is>
      </c>
      <c r="B51" s="3" t="inlineStr">
        <is>
          <t>Makeup Brush Set</t>
        </is>
      </c>
      <c r="C51" s="3" t="inlineStr">
        <is>
          <t>Beauty</t>
        </is>
      </c>
      <c r="D51" s="3" t="inlineStr">
        <is>
          <t>Makeup</t>
        </is>
      </c>
      <c r="E51" s="3" t="inlineStr">
        <is>
          <t>Cook Inc</t>
        </is>
      </c>
      <c r="F51" s="10" t="inlineStr">
        <is>
          <t>MISSING</t>
        </is>
      </c>
      <c r="G51" s="3" t="n">
        <v>431</v>
      </c>
    </row>
    <row r="52">
      <c r="A52" s="5" t="inlineStr">
        <is>
          <t>PROD48</t>
        </is>
      </c>
      <c r="B52" s="5" t="inlineStr">
        <is>
          <t>Car Dashboard Phone Holder</t>
        </is>
      </c>
      <c r="C52" s="5" t="inlineStr">
        <is>
          <t>Electronics</t>
        </is>
      </c>
      <c r="D52" s="5" t="inlineStr">
        <is>
          <t>Accessories</t>
        </is>
      </c>
      <c r="E52" s="5" t="inlineStr">
        <is>
          <t>Byrd, Stewart and Valdez</t>
        </is>
      </c>
      <c r="F52" s="5" t="n">
        <v>177.98</v>
      </c>
      <c r="G52" s="5" t="n">
        <v>103</v>
      </c>
    </row>
    <row r="53">
      <c r="A53" s="4" t="inlineStr">
        <is>
          <t>PROD49</t>
        </is>
      </c>
      <c r="B53" s="4" t="inlineStr">
        <is>
          <t>Men's Roll-On Perfume</t>
        </is>
      </c>
      <c r="C53" s="4" t="inlineStr">
        <is>
          <t>Beauty</t>
        </is>
      </c>
      <c r="D53" s="4" t="inlineStr">
        <is>
          <t>Fragrance</t>
        </is>
      </c>
      <c r="E53" s="4" t="inlineStr">
        <is>
          <t>Sullivan and Sons</t>
        </is>
      </c>
      <c r="F53" s="4" t="n">
        <v>43.29</v>
      </c>
      <c r="G53" s="4" t="n">
        <v>267</v>
      </c>
    </row>
    <row r="54">
      <c r="A54" s="5" t="inlineStr">
        <is>
          <t>PROD50</t>
        </is>
      </c>
      <c r="B54" s="5" t="inlineStr">
        <is>
          <t>Boxing Hand Wraps</t>
        </is>
      </c>
      <c r="C54" s="5" t="inlineStr">
        <is>
          <t>Sports</t>
        </is>
      </c>
      <c r="D54" s="5" t="inlineStr">
        <is>
          <t>Fitness</t>
        </is>
      </c>
      <c r="E54" s="5" t="inlineStr">
        <is>
          <t>Smith-King</t>
        </is>
      </c>
      <c r="F54" s="5" t="n">
        <v>190.29</v>
      </c>
      <c r="G54" s="5" t="n">
        <v>260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30" customWidth="1" min="5" max="5"/>
    <col width="10" customWidth="1" min="6" max="6"/>
    <col width="8" customWidth="1" min="7" max="7"/>
    <col width="12" customWidth="1" min="8" max="8"/>
  </cols>
  <sheetData>
    <row r="1" ht="28" customHeight="1">
      <c r="A1" s="1" t="inlineStr">
        <is>
          <t>CLEANED PRODUCT DATA</t>
        </is>
      </c>
    </row>
    <row r="3" ht="30" customHeight="1">
      <c r="A3" s="2" t="inlineStr">
        <is>
          <t>Product_ID</t>
        </is>
      </c>
      <c r="B3" s="2" t="inlineStr">
        <is>
          <t>Product_Name</t>
        </is>
      </c>
      <c r="C3" s="2" t="inlineStr">
        <is>
          <t>Category</t>
        </is>
      </c>
      <c r="D3" s="2" t="inlineStr">
        <is>
          <t>Sub_Category</t>
        </is>
      </c>
      <c r="E3" s="2" t="inlineStr">
        <is>
          <t>Brand</t>
        </is>
      </c>
      <c r="F3" s="2" t="inlineStr">
        <is>
          <t>Cost</t>
        </is>
      </c>
      <c r="G3" s="2" t="inlineStr">
        <is>
          <t>Stock</t>
        </is>
      </c>
      <c r="H3" s="2" t="inlineStr">
        <is>
          <t>Stock_Status</t>
        </is>
      </c>
    </row>
    <row r="4">
      <c r="A4" s="5" t="inlineStr">
        <is>
          <t>PROD0</t>
        </is>
      </c>
      <c r="B4" s="5" t="inlineStr">
        <is>
          <t>Brother Laser Printer</t>
        </is>
      </c>
      <c r="C4" s="5" t="inlineStr">
        <is>
          <t>Electronics</t>
        </is>
      </c>
      <c r="D4" s="5" t="inlineStr">
        <is>
          <t>Computer</t>
        </is>
      </c>
      <c r="E4" s="5" t="inlineStr">
        <is>
          <t>Hunt Inc</t>
        </is>
      </c>
      <c r="F4" s="5" t="n">
        <v>112.42</v>
      </c>
      <c r="G4" s="5" t="n">
        <v>416</v>
      </c>
      <c r="H4" s="11" t="inlineStr">
        <is>
          <t>High</t>
        </is>
      </c>
    </row>
    <row r="5">
      <c r="A5" s="4" t="inlineStr">
        <is>
          <t>PROD1</t>
        </is>
      </c>
      <c r="B5" s="4" t="inlineStr">
        <is>
          <t>Men's Graphic T-Shirt</t>
        </is>
      </c>
      <c r="C5" s="4" t="inlineStr">
        <is>
          <t>Clothing</t>
        </is>
      </c>
      <c r="D5" s="4" t="inlineStr">
        <is>
          <t>Tops</t>
        </is>
      </c>
      <c r="E5" s="4" t="inlineStr">
        <is>
          <t>Terry-Moore</t>
        </is>
      </c>
      <c r="F5" s="4" t="n">
        <v>342.56</v>
      </c>
      <c r="G5" s="4" t="n">
        <v>181</v>
      </c>
      <c r="H5" s="4" t="inlineStr">
        <is>
          <t>Medium</t>
        </is>
      </c>
    </row>
    <row r="6">
      <c r="A6" s="5" t="inlineStr">
        <is>
          <t>PROD2</t>
        </is>
      </c>
      <c r="B6" s="5" t="inlineStr">
        <is>
          <t>Women's Casual Hoodie</t>
        </is>
      </c>
      <c r="C6" s="5" t="inlineStr">
        <is>
          <t>Clothing</t>
        </is>
      </c>
      <c r="D6" s="5" t="inlineStr">
        <is>
          <t>Outerwear</t>
        </is>
      </c>
      <c r="E6" s="5" t="inlineStr">
        <is>
          <t>Sims Inc</t>
        </is>
      </c>
      <c r="F6" s="9" t="n">
        <v>280</v>
      </c>
      <c r="G6" s="5" t="n">
        <v>352</v>
      </c>
      <c r="H6" s="11" t="inlineStr">
        <is>
          <t>High</t>
        </is>
      </c>
    </row>
    <row r="7">
      <c r="A7" s="4" t="inlineStr">
        <is>
          <t>PROD3</t>
        </is>
      </c>
      <c r="B7" s="4" t="inlineStr">
        <is>
          <t>Men's Running Jacket</t>
        </is>
      </c>
      <c r="C7" s="4" t="inlineStr">
        <is>
          <t>Clothing</t>
        </is>
      </c>
      <c r="D7" s="4" t="inlineStr">
        <is>
          <t>Outerwear</t>
        </is>
      </c>
      <c r="E7" s="4" t="inlineStr">
        <is>
          <t>Pineda Ltd</t>
        </is>
      </c>
      <c r="F7" s="4" t="n">
        <v>364.67</v>
      </c>
      <c r="G7" s="4" t="n">
        <v>452</v>
      </c>
      <c r="H7" s="11" t="inlineStr">
        <is>
          <t>High</t>
        </is>
      </c>
    </row>
    <row r="8">
      <c r="A8" s="5" t="inlineStr">
        <is>
          <t>PROD4</t>
        </is>
      </c>
      <c r="B8" s="5" t="inlineStr">
        <is>
          <t>Women's Yoga Pants</t>
        </is>
      </c>
      <c r="C8" s="5" t="inlineStr">
        <is>
          <t>Clothing</t>
        </is>
      </c>
      <c r="D8" s="5" t="inlineStr">
        <is>
          <t>Bottoms</t>
        </is>
      </c>
      <c r="E8" s="5" t="inlineStr">
        <is>
          <t>Gonzales-Davis</t>
        </is>
      </c>
      <c r="F8" s="5" t="n">
        <v>306.46</v>
      </c>
      <c r="G8" s="5" t="n">
        <v>487</v>
      </c>
      <c r="H8" s="11" t="inlineStr">
        <is>
          <t>High</t>
        </is>
      </c>
    </row>
    <row r="9">
      <c r="A9" s="4" t="inlineStr">
        <is>
          <t>PROD5</t>
        </is>
      </c>
      <c r="B9" s="4" t="inlineStr">
        <is>
          <t>Men's Leather Belt</t>
        </is>
      </c>
      <c r="C9" s="4" t="inlineStr">
        <is>
          <t>Clothing</t>
        </is>
      </c>
      <c r="D9" s="4" t="inlineStr">
        <is>
          <t>Accessories</t>
        </is>
      </c>
      <c r="E9" s="4" t="inlineStr">
        <is>
          <t>Baldwin, Garza and Gonzalez</t>
        </is>
      </c>
      <c r="F9" s="4" t="n">
        <v>261</v>
      </c>
      <c r="G9" s="4" t="n">
        <v>59</v>
      </c>
      <c r="H9" s="12" t="inlineStr">
        <is>
          <t>Low</t>
        </is>
      </c>
    </row>
    <row r="10">
      <c r="A10" s="5" t="inlineStr">
        <is>
          <t>PROD6</t>
        </is>
      </c>
      <c r="B10" s="5" t="inlineStr">
        <is>
          <t>Herbal Face Moisturizer</t>
        </is>
      </c>
      <c r="C10" s="5" t="inlineStr">
        <is>
          <t>Beauty</t>
        </is>
      </c>
      <c r="D10" s="5" t="inlineStr">
        <is>
          <t>Skincare</t>
        </is>
      </c>
      <c r="E10" s="5" t="inlineStr">
        <is>
          <t>Davidson PLC</t>
        </is>
      </c>
      <c r="F10" s="5" t="n">
        <v>312.8</v>
      </c>
      <c r="G10" s="5" t="n">
        <v>350</v>
      </c>
      <c r="H10" s="11" t="inlineStr">
        <is>
          <t>High</t>
        </is>
      </c>
    </row>
    <row r="11">
      <c r="A11" s="4" t="inlineStr">
        <is>
          <t>PROD7</t>
        </is>
      </c>
      <c r="B11" s="4" t="inlineStr">
        <is>
          <t>LED Table Lamp</t>
        </is>
      </c>
      <c r="C11" s="4" t="inlineStr">
        <is>
          <t>Home</t>
        </is>
      </c>
      <c r="D11" s="4" t="inlineStr">
        <is>
          <t>Lighting</t>
        </is>
      </c>
      <c r="E11" s="4" t="inlineStr">
        <is>
          <t>Harrell LLC</t>
        </is>
      </c>
      <c r="F11" s="4" t="n">
        <v>218.86</v>
      </c>
      <c r="G11" s="4" t="n">
        <v>170</v>
      </c>
      <c r="H11" s="4" t="inlineStr">
        <is>
          <t>Medium</t>
        </is>
      </c>
    </row>
    <row r="12">
      <c r="A12" s="5" t="inlineStr">
        <is>
          <t>PROD8</t>
        </is>
      </c>
      <c r="B12" s="5" t="inlineStr">
        <is>
          <t>Wireless Bluetooth Earbuds</t>
        </is>
      </c>
      <c r="C12" s="5" t="inlineStr">
        <is>
          <t>Electronics</t>
        </is>
      </c>
      <c r="D12" s="5" t="inlineStr">
        <is>
          <t>Audio</t>
        </is>
      </c>
      <c r="E12" s="5" t="inlineStr">
        <is>
          <t>Perez-Johnston</t>
        </is>
      </c>
      <c r="F12" s="5" t="n">
        <v>439.07</v>
      </c>
      <c r="G12" s="5" t="n">
        <v>142</v>
      </c>
      <c r="H12" s="5" t="inlineStr">
        <is>
          <t>Medium</t>
        </is>
      </c>
    </row>
    <row r="13">
      <c r="A13" s="4" t="inlineStr">
        <is>
          <t>PROD9</t>
        </is>
      </c>
      <c r="B13" s="4" t="inlineStr">
        <is>
          <t>Adjustable Dumbbell Set</t>
        </is>
      </c>
      <c r="C13" s="4" t="inlineStr">
        <is>
          <t>Sports</t>
        </is>
      </c>
      <c r="D13" s="4" t="inlineStr">
        <is>
          <t>Fitness</t>
        </is>
      </c>
      <c r="E13" s="4" t="inlineStr">
        <is>
          <t>Hill PLC</t>
        </is>
      </c>
      <c r="F13" s="4" t="n">
        <v>495.72</v>
      </c>
      <c r="G13" s="4" t="n">
        <v>323</v>
      </c>
      <c r="H13" s="11" t="inlineStr">
        <is>
          <t>High</t>
        </is>
      </c>
    </row>
    <row r="14">
      <c r="A14" s="5" t="inlineStr">
        <is>
          <t>PROD10</t>
        </is>
      </c>
      <c r="B14" s="5" t="inlineStr">
        <is>
          <t>Ceramic Kitchen Bowl Set</t>
        </is>
      </c>
      <c r="C14" s="5" t="inlineStr">
        <is>
          <t>Home</t>
        </is>
      </c>
      <c r="D14" s="5" t="inlineStr">
        <is>
          <t>Kitchen</t>
        </is>
      </c>
      <c r="E14" s="5" t="inlineStr">
        <is>
          <t>Hamilton Group</t>
        </is>
      </c>
      <c r="F14" s="5" t="n">
        <v>298.86</v>
      </c>
      <c r="G14" s="5" t="n">
        <v>308</v>
      </c>
      <c r="H14" s="11" t="inlineStr">
        <is>
          <t>High</t>
        </is>
      </c>
    </row>
    <row r="15">
      <c r="A15" s="4" t="inlineStr">
        <is>
          <t>PROD11</t>
        </is>
      </c>
      <c r="B15" s="4" t="inlineStr">
        <is>
          <t>HD Smart TV Stick</t>
        </is>
      </c>
      <c r="C15" s="4" t="inlineStr">
        <is>
          <t>Electronics</t>
        </is>
      </c>
      <c r="D15" s="4" t="inlineStr">
        <is>
          <t>Accessories</t>
        </is>
      </c>
      <c r="E15" s="4" t="inlineStr">
        <is>
          <t>Gibson, Hobbs and Weaver</t>
        </is>
      </c>
      <c r="F15" s="4" t="n">
        <v>449.4</v>
      </c>
      <c r="G15" s="9" t="n">
        <v>280</v>
      </c>
      <c r="H15" s="11" t="inlineStr">
        <is>
          <t>High</t>
        </is>
      </c>
    </row>
    <row r="16">
      <c r="A16" s="5" t="inlineStr">
        <is>
          <t>PROD12</t>
        </is>
      </c>
      <c r="B16" s="5" t="inlineStr">
        <is>
          <t>Hair Strengthening Shampoo</t>
        </is>
      </c>
      <c r="C16" s="5" t="inlineStr">
        <is>
          <t>Beauty</t>
        </is>
      </c>
      <c r="D16" s="5" t="inlineStr">
        <is>
          <t>Haircare</t>
        </is>
      </c>
      <c r="E16" s="5" t="inlineStr">
        <is>
          <t>Rice LLC</t>
        </is>
      </c>
      <c r="F16" s="5" t="n">
        <v>115.82</v>
      </c>
      <c r="G16" s="5" t="n">
        <v>460</v>
      </c>
      <c r="H16" s="11" t="inlineStr">
        <is>
          <t>High</t>
        </is>
      </c>
    </row>
    <row r="17">
      <c r="A17" s="4" t="inlineStr">
        <is>
          <t>PROD13</t>
        </is>
      </c>
      <c r="B17" s="4" t="inlineStr">
        <is>
          <t>USB-C Fast Charger</t>
        </is>
      </c>
      <c r="C17" s="4" t="inlineStr">
        <is>
          <t>Electronics</t>
        </is>
      </c>
      <c r="D17" s="4" t="inlineStr">
        <is>
          <t>Accessories</t>
        </is>
      </c>
      <c r="E17" s="4" t="inlineStr">
        <is>
          <t>Dawson-Perkins</t>
        </is>
      </c>
      <c r="F17" s="4" t="n">
        <v>242.23</v>
      </c>
      <c r="G17" s="4" t="n">
        <v>453</v>
      </c>
      <c r="H17" s="11" t="inlineStr">
        <is>
          <t>High</t>
        </is>
      </c>
    </row>
    <row r="18">
      <c r="A18" s="5" t="inlineStr">
        <is>
          <t>PROD14</t>
        </is>
      </c>
      <c r="B18" s="5" t="inlineStr">
        <is>
          <t>Decorative Wall Mirror</t>
        </is>
      </c>
      <c r="C18" s="5" t="inlineStr">
        <is>
          <t>Home</t>
        </is>
      </c>
      <c r="D18" s="5" t="inlineStr">
        <is>
          <t>Decor</t>
        </is>
      </c>
      <c r="E18" s="5" t="inlineStr">
        <is>
          <t>Luna, Anderson and Bowman</t>
        </is>
      </c>
      <c r="F18" s="5" t="n">
        <v>48.01</v>
      </c>
      <c r="G18" s="5" t="n">
        <v>439</v>
      </c>
      <c r="H18" s="11" t="inlineStr">
        <is>
          <t>High</t>
        </is>
      </c>
    </row>
    <row r="19">
      <c r="A19" s="4" t="inlineStr">
        <is>
          <t>PROD15</t>
        </is>
      </c>
      <c r="B19" s="4" t="inlineStr">
        <is>
          <t>4K Home Projector</t>
        </is>
      </c>
      <c r="C19" s="4" t="inlineStr">
        <is>
          <t>Electronics</t>
        </is>
      </c>
      <c r="D19" s="4" t="inlineStr">
        <is>
          <t>Appliances</t>
        </is>
      </c>
      <c r="E19" s="4" t="inlineStr">
        <is>
          <t>Thomas LLC</t>
        </is>
      </c>
      <c r="F19" s="4" t="n">
        <v>465.34</v>
      </c>
      <c r="G19" s="4" t="n">
        <v>301</v>
      </c>
      <c r="H19" s="11" t="inlineStr">
        <is>
          <t>High</t>
        </is>
      </c>
    </row>
    <row r="20">
      <c r="A20" s="5" t="inlineStr">
        <is>
          <t>PROD16</t>
        </is>
      </c>
      <c r="B20" s="5" t="inlineStr">
        <is>
          <t>Beard Grooming Kit</t>
        </is>
      </c>
      <c r="C20" s="5" t="inlineStr">
        <is>
          <t>Beauty</t>
        </is>
      </c>
      <c r="D20" s="5" t="inlineStr">
        <is>
          <t>Grooming</t>
        </is>
      </c>
      <c r="E20" s="5" t="inlineStr">
        <is>
          <t>Erickson-Green</t>
        </is>
      </c>
      <c r="F20" s="5" t="n">
        <v>337.42</v>
      </c>
      <c r="G20" s="5" t="n">
        <v>256</v>
      </c>
      <c r="H20" s="11" t="inlineStr">
        <is>
          <t>High</t>
        </is>
      </c>
    </row>
    <row r="21">
      <c r="A21" s="4" t="inlineStr">
        <is>
          <t>PROD17</t>
        </is>
      </c>
      <c r="B21" s="4" t="inlineStr">
        <is>
          <t>Soccer Training Cone Set</t>
        </is>
      </c>
      <c r="C21" s="4" t="inlineStr">
        <is>
          <t>Sports</t>
        </is>
      </c>
      <c r="D21" s="4" t="inlineStr">
        <is>
          <t>Accessories</t>
        </is>
      </c>
      <c r="E21" s="4" t="inlineStr">
        <is>
          <t>Ford, Murphy and Wilson</t>
        </is>
      </c>
      <c r="F21" s="4" t="n">
        <v>144.53</v>
      </c>
      <c r="G21" s="4" t="n">
        <v>367</v>
      </c>
      <c r="H21" s="11" t="inlineStr">
        <is>
          <t>High</t>
        </is>
      </c>
    </row>
    <row r="22">
      <c r="A22" s="5" t="inlineStr">
        <is>
          <t>PROD18</t>
        </is>
      </c>
      <c r="B22" s="5" t="inlineStr">
        <is>
          <t>Women's Denim Jeans</t>
        </is>
      </c>
      <c r="C22" s="5" t="inlineStr">
        <is>
          <t>Clothing</t>
        </is>
      </c>
      <c r="D22" s="5" t="inlineStr">
        <is>
          <t>Bottoms</t>
        </is>
      </c>
      <c r="E22" s="5" t="inlineStr">
        <is>
          <t>Guerra-Hendrix</t>
        </is>
      </c>
      <c r="F22" s="9" t="n">
        <v>280</v>
      </c>
      <c r="G22" s="5" t="n">
        <v>343</v>
      </c>
      <c r="H22" s="11" t="inlineStr">
        <is>
          <t>High</t>
        </is>
      </c>
    </row>
    <row r="23">
      <c r="A23" s="4" t="inlineStr">
        <is>
          <t>PROD19</t>
        </is>
      </c>
      <c r="B23" s="4" t="inlineStr">
        <is>
          <t>Knee Support Brace</t>
        </is>
      </c>
      <c r="C23" s="4" t="inlineStr">
        <is>
          <t>Sports</t>
        </is>
      </c>
      <c r="D23" s="4" t="inlineStr">
        <is>
          <t>Equipment</t>
        </is>
      </c>
      <c r="E23" s="4" t="inlineStr">
        <is>
          <t>May-Reese</t>
        </is>
      </c>
      <c r="F23" s="4" t="n">
        <v>21.34</v>
      </c>
      <c r="G23" s="4" t="n">
        <v>65</v>
      </c>
      <c r="H23" s="12" t="inlineStr">
        <is>
          <t>Low</t>
        </is>
      </c>
    </row>
    <row r="24">
      <c r="A24" s="5" t="inlineStr">
        <is>
          <t>PROD20</t>
        </is>
      </c>
      <c r="B24" s="5" t="inlineStr">
        <is>
          <t>Outdoor Sports Water Bottle</t>
        </is>
      </c>
      <c r="C24" s="5" t="inlineStr">
        <is>
          <t>Sports</t>
        </is>
      </c>
      <c r="D24" s="5" t="inlineStr">
        <is>
          <t>Accessories</t>
        </is>
      </c>
      <c r="E24" s="5" t="inlineStr">
        <is>
          <t>Soto-Ellis</t>
        </is>
      </c>
      <c r="F24" s="5" t="n">
        <v>131.51</v>
      </c>
      <c r="G24" s="9" t="n">
        <v>280</v>
      </c>
      <c r="H24" s="11" t="inlineStr">
        <is>
          <t>High</t>
        </is>
      </c>
    </row>
    <row r="25">
      <c r="A25" s="4" t="inlineStr">
        <is>
          <t>PROD21</t>
        </is>
      </c>
      <c r="B25" s="4" t="inlineStr">
        <is>
          <t>Multi-Purpose Storage Box</t>
        </is>
      </c>
      <c r="C25" s="4" t="inlineStr">
        <is>
          <t>Home</t>
        </is>
      </c>
      <c r="D25" s="4" t="inlineStr">
        <is>
          <t>Storage</t>
        </is>
      </c>
      <c r="E25" s="4" t="inlineStr">
        <is>
          <t>Gardner-Montes</t>
        </is>
      </c>
      <c r="F25" s="4" t="n">
        <v>123.46</v>
      </c>
      <c r="G25" s="4" t="n">
        <v>76</v>
      </c>
      <c r="H25" s="12" t="inlineStr">
        <is>
          <t>Low</t>
        </is>
      </c>
    </row>
    <row r="26">
      <c r="A26" s="5" t="inlineStr">
        <is>
          <t>PROD22</t>
        </is>
      </c>
      <c r="B26" s="5" t="inlineStr">
        <is>
          <t>Carbon Fiber Tennis Racket</t>
        </is>
      </c>
      <c r="C26" s="5" t="inlineStr">
        <is>
          <t>Sports</t>
        </is>
      </c>
      <c r="D26" s="5" t="inlineStr">
        <is>
          <t>Equipment</t>
        </is>
      </c>
      <c r="E26" s="5" t="inlineStr">
        <is>
          <t>Flores, Pineda and Rodriguez</t>
        </is>
      </c>
      <c r="F26" s="5" t="n">
        <v>484.62</v>
      </c>
      <c r="G26" s="5" t="n">
        <v>432</v>
      </c>
      <c r="H26" s="11" t="inlineStr">
        <is>
          <t>High</t>
        </is>
      </c>
    </row>
    <row r="27">
      <c r="A27" s="4" t="inlineStr">
        <is>
          <t>PROD23</t>
        </is>
      </c>
      <c r="B27" s="4" t="inlineStr">
        <is>
          <t>Men's Formal Shirt</t>
        </is>
      </c>
      <c r="C27" s="4" t="inlineStr">
        <is>
          <t>Clothing</t>
        </is>
      </c>
      <c r="D27" s="4" t="inlineStr">
        <is>
          <t>Tops</t>
        </is>
      </c>
      <c r="E27" s="4" t="inlineStr">
        <is>
          <t>Moon, Mora and Santos</t>
        </is>
      </c>
      <c r="F27" s="9" t="n">
        <v>280</v>
      </c>
      <c r="G27" s="4" t="n">
        <v>360</v>
      </c>
      <c r="H27" s="11" t="inlineStr">
        <is>
          <t>High</t>
        </is>
      </c>
    </row>
    <row r="28">
      <c r="A28" s="5" t="inlineStr">
        <is>
          <t>PROD24</t>
        </is>
      </c>
      <c r="B28" s="5" t="inlineStr">
        <is>
          <t>Foldable Camping Chair</t>
        </is>
      </c>
      <c r="C28" s="5" t="inlineStr">
        <is>
          <t>Sports</t>
        </is>
      </c>
      <c r="D28" s="5" t="inlineStr">
        <is>
          <t>Outdoor</t>
        </is>
      </c>
      <c r="E28" s="5" t="inlineStr">
        <is>
          <t>Cook Ltd</t>
        </is>
      </c>
      <c r="F28" s="5" t="n">
        <v>166.06</v>
      </c>
      <c r="G28" s="5" t="n">
        <v>340</v>
      </c>
      <c r="H28" s="11" t="inlineStr">
        <is>
          <t>High</t>
        </is>
      </c>
    </row>
    <row r="29">
      <c r="A29" s="4" t="inlineStr">
        <is>
          <t>PROD25</t>
        </is>
      </c>
      <c r="B29" s="4" t="inlineStr">
        <is>
          <t>Women's Scarf Set</t>
        </is>
      </c>
      <c r="C29" s="4" t="inlineStr">
        <is>
          <t>Clothing</t>
        </is>
      </c>
      <c r="D29" s="4" t="inlineStr">
        <is>
          <t>Accessories</t>
        </is>
      </c>
      <c r="E29" s="4" t="inlineStr">
        <is>
          <t>Brown and Sons</t>
        </is>
      </c>
      <c r="F29" s="4" t="n">
        <v>174.02</v>
      </c>
      <c r="G29" s="4" t="n">
        <v>268</v>
      </c>
      <c r="H29" s="11" t="inlineStr">
        <is>
          <t>High</t>
        </is>
      </c>
    </row>
    <row r="30">
      <c r="A30" s="5" t="inlineStr">
        <is>
          <t>PROD26</t>
        </is>
      </c>
      <c r="B30" s="5" t="inlineStr">
        <is>
          <t>Wireless Bluetooth Speaker</t>
        </is>
      </c>
      <c r="C30" s="5" t="inlineStr">
        <is>
          <t>Electronics</t>
        </is>
      </c>
      <c r="D30" s="5" t="inlineStr">
        <is>
          <t>Audio</t>
        </is>
      </c>
      <c r="E30" s="5" t="inlineStr">
        <is>
          <t>Reed-Schmidt</t>
        </is>
      </c>
      <c r="F30" s="5" t="n">
        <v>322.41</v>
      </c>
      <c r="G30" s="5" t="n">
        <v>213</v>
      </c>
      <c r="H30" s="11" t="inlineStr">
        <is>
          <t>High</t>
        </is>
      </c>
    </row>
    <row r="31">
      <c r="A31" s="4" t="inlineStr">
        <is>
          <t>PROD27</t>
        </is>
      </c>
      <c r="B31" s="4" t="inlineStr">
        <is>
          <t>Decorative Floor Vase</t>
        </is>
      </c>
      <c r="C31" s="4" t="inlineStr">
        <is>
          <t>Home</t>
        </is>
      </c>
      <c r="D31" s="4" t="inlineStr">
        <is>
          <t>Decor</t>
        </is>
      </c>
      <c r="E31" s="4" t="inlineStr">
        <is>
          <t>Khan, Jones and Paul</t>
        </is>
      </c>
      <c r="F31" s="9" t="n">
        <v>220</v>
      </c>
      <c r="G31" s="4" t="n">
        <v>378</v>
      </c>
      <c r="H31" s="11" t="inlineStr">
        <is>
          <t>High</t>
        </is>
      </c>
    </row>
    <row r="32">
      <c r="A32" s="5" t="inlineStr">
        <is>
          <t>PROD28</t>
        </is>
      </c>
      <c r="B32" s="5" t="inlineStr">
        <is>
          <t>Sports Stopwatch Timer</t>
        </is>
      </c>
      <c r="C32" s="5" t="inlineStr">
        <is>
          <t>Sports</t>
        </is>
      </c>
      <c r="D32" s="5" t="inlineStr">
        <is>
          <t>Accessories</t>
        </is>
      </c>
      <c r="E32" s="5" t="inlineStr">
        <is>
          <t>Burns-Hansen</t>
        </is>
      </c>
      <c r="F32" s="5" t="n">
        <v>38.76</v>
      </c>
      <c r="G32" s="5" t="n">
        <v>137</v>
      </c>
      <c r="H32" s="5" t="inlineStr">
        <is>
          <t>Medium</t>
        </is>
      </c>
    </row>
    <row r="33">
      <c r="A33" s="4" t="inlineStr">
        <is>
          <t>PROD29</t>
        </is>
      </c>
      <c r="B33" s="4" t="inlineStr">
        <is>
          <t>Fabric Sofa Throw Blanket</t>
        </is>
      </c>
      <c r="C33" s="4" t="inlineStr">
        <is>
          <t>Home</t>
        </is>
      </c>
      <c r="D33" s="4" t="inlineStr">
        <is>
          <t>Decor</t>
        </is>
      </c>
      <c r="E33" s="4" t="inlineStr">
        <is>
          <t>Hoffman Group</t>
        </is>
      </c>
      <c r="F33" s="4" t="n">
        <v>218.48</v>
      </c>
      <c r="G33" s="4" t="n">
        <v>276</v>
      </c>
      <c r="H33" s="11" t="inlineStr">
        <is>
          <t>High</t>
        </is>
      </c>
    </row>
    <row r="34">
      <c r="A34" s="5" t="inlineStr">
        <is>
          <t>PROD30</t>
        </is>
      </c>
      <c r="B34" s="5" t="inlineStr">
        <is>
          <t>Stainless Steel Cutlery Set</t>
        </is>
      </c>
      <c r="C34" s="5" t="inlineStr">
        <is>
          <t>Home</t>
        </is>
      </c>
      <c r="D34" s="5" t="inlineStr">
        <is>
          <t>Kitchen</t>
        </is>
      </c>
      <c r="E34" s="5" t="inlineStr">
        <is>
          <t>Stevens, Fernandez and Martin</t>
        </is>
      </c>
      <c r="F34" s="5" t="n">
        <v>19.52</v>
      </c>
      <c r="G34" s="5" t="n">
        <v>57</v>
      </c>
      <c r="H34" s="12" t="inlineStr">
        <is>
          <t>Low</t>
        </is>
      </c>
    </row>
    <row r="35">
      <c r="A35" s="4" t="inlineStr">
        <is>
          <t>PROD31</t>
        </is>
      </c>
      <c r="B35" s="4" t="inlineStr">
        <is>
          <t>Basketball</t>
        </is>
      </c>
      <c r="C35" s="4" t="inlineStr">
        <is>
          <t>Sports</t>
        </is>
      </c>
      <c r="D35" s="4" t="inlineStr">
        <is>
          <t>Team Sports</t>
        </is>
      </c>
      <c r="E35" s="4" t="inlineStr">
        <is>
          <t>Nolan-Snow</t>
        </is>
      </c>
      <c r="F35" s="4" t="n">
        <v>204.39</v>
      </c>
      <c r="G35" s="4" t="n">
        <v>281</v>
      </c>
      <c r="H35" s="11" t="inlineStr">
        <is>
          <t>High</t>
        </is>
      </c>
    </row>
    <row r="36">
      <c r="A36" s="5" t="inlineStr">
        <is>
          <t>PROD32</t>
        </is>
      </c>
      <c r="B36" s="5" t="inlineStr">
        <is>
          <t>Vitamin C Face Serum</t>
        </is>
      </c>
      <c r="C36" s="5" t="inlineStr">
        <is>
          <t>Beauty</t>
        </is>
      </c>
      <c r="D36" s="5" t="inlineStr">
        <is>
          <t>Skincare</t>
        </is>
      </c>
      <c r="E36" s="5" t="inlineStr">
        <is>
          <t>Griffin Ltd</t>
        </is>
      </c>
      <c r="F36" s="5" t="n">
        <v>283.83</v>
      </c>
      <c r="G36" s="5" t="n">
        <v>244</v>
      </c>
      <c r="H36" s="11" t="inlineStr">
        <is>
          <t>High</t>
        </is>
      </c>
    </row>
    <row r="37">
      <c r="A37" s="4" t="inlineStr">
        <is>
          <t>PROD33</t>
        </is>
      </c>
      <c r="B37" s="4" t="inlineStr">
        <is>
          <t>Modern Wall Clock</t>
        </is>
      </c>
      <c r="C37" s="4" t="inlineStr">
        <is>
          <t>Home</t>
        </is>
      </c>
      <c r="D37" s="4" t="inlineStr">
        <is>
          <t>Decor</t>
        </is>
      </c>
      <c r="E37" s="4" t="inlineStr">
        <is>
          <t>Weiss-Watson</t>
        </is>
      </c>
      <c r="F37" s="4" t="n">
        <v>179.77</v>
      </c>
      <c r="G37" s="4" t="n">
        <v>305</v>
      </c>
      <c r="H37" s="11" t="inlineStr">
        <is>
          <t>High</t>
        </is>
      </c>
    </row>
    <row r="38">
      <c r="A38" s="5" t="inlineStr">
        <is>
          <t>PROD34</t>
        </is>
      </c>
      <c r="B38" s="5" t="inlineStr">
        <is>
          <t>Gaming Mechanical Keyboard</t>
        </is>
      </c>
      <c r="C38" s="5" t="inlineStr">
        <is>
          <t>Electronics</t>
        </is>
      </c>
      <c r="D38" s="5" t="inlineStr">
        <is>
          <t>Computer</t>
        </is>
      </c>
      <c r="E38" s="5" t="inlineStr">
        <is>
          <t>Lucero LLC</t>
        </is>
      </c>
      <c r="F38" s="5" t="n">
        <v>419.28</v>
      </c>
      <c r="G38" s="5" t="n">
        <v>86</v>
      </c>
      <c r="H38" s="5" t="inlineStr">
        <is>
          <t>Medium</t>
        </is>
      </c>
    </row>
    <row r="39">
      <c r="A39" s="4" t="inlineStr">
        <is>
          <t>PROD35</t>
        </is>
      </c>
      <c r="B39" s="4" t="inlineStr">
        <is>
          <t>Bedroom Table Lamp</t>
        </is>
      </c>
      <c r="C39" s="4" t="inlineStr">
        <is>
          <t>Home</t>
        </is>
      </c>
      <c r="D39" s="4" t="inlineStr">
        <is>
          <t>Lighting</t>
        </is>
      </c>
      <c r="E39" s="4" t="inlineStr">
        <is>
          <t>Jones LLC</t>
        </is>
      </c>
      <c r="F39" s="4" t="n">
        <v>382.22</v>
      </c>
      <c r="G39" s="4" t="n">
        <v>329</v>
      </c>
      <c r="H39" s="11" t="inlineStr">
        <is>
          <t>High</t>
        </is>
      </c>
    </row>
    <row r="40">
      <c r="A40" s="5" t="inlineStr">
        <is>
          <t>PROD36</t>
        </is>
      </c>
      <c r="B40" s="5" t="inlineStr">
        <is>
          <t>Women's Summer Dress</t>
        </is>
      </c>
      <c r="C40" s="5" t="inlineStr">
        <is>
          <t>Clothing</t>
        </is>
      </c>
      <c r="D40" s="5" t="inlineStr">
        <is>
          <t>Tops</t>
        </is>
      </c>
      <c r="E40" s="5" t="inlineStr">
        <is>
          <t>Smith-Mills</t>
        </is>
      </c>
      <c r="F40" s="5" t="n">
        <v>223.43</v>
      </c>
      <c r="G40" s="5" t="n">
        <v>154</v>
      </c>
      <c r="H40" s="5" t="inlineStr">
        <is>
          <t>Medium</t>
        </is>
      </c>
    </row>
    <row r="41">
      <c r="A41" s="4" t="inlineStr">
        <is>
          <t>PROD37</t>
        </is>
      </c>
      <c r="B41" s="4" t="inlineStr">
        <is>
          <t>Men's Casual Sneakers</t>
        </is>
      </c>
      <c r="C41" s="4" t="inlineStr">
        <is>
          <t>Clothing</t>
        </is>
      </c>
      <c r="D41" s="4" t="inlineStr">
        <is>
          <t>Footwear</t>
        </is>
      </c>
      <c r="E41" s="4" t="inlineStr">
        <is>
          <t>Hogan-Lee</t>
        </is>
      </c>
      <c r="F41" s="4" t="n">
        <v>353.47</v>
      </c>
      <c r="G41" s="4" t="n">
        <v>214</v>
      </c>
      <c r="H41" s="11" t="inlineStr">
        <is>
          <t>High</t>
        </is>
      </c>
    </row>
    <row r="42">
      <c r="A42" s="5" t="inlineStr">
        <is>
          <t>PROD38</t>
        </is>
      </c>
      <c r="B42" s="5" t="inlineStr">
        <is>
          <t>Sports Water Hydration Pack</t>
        </is>
      </c>
      <c r="C42" s="5" t="inlineStr">
        <is>
          <t>Sports</t>
        </is>
      </c>
      <c r="D42" s="5" t="inlineStr">
        <is>
          <t>Outdoor</t>
        </is>
      </c>
      <c r="E42" s="5" t="inlineStr">
        <is>
          <t>Sims-Smith</t>
        </is>
      </c>
      <c r="F42" s="5" t="n">
        <v>135.61</v>
      </c>
      <c r="G42" s="5" t="n">
        <v>394</v>
      </c>
      <c r="H42" s="11" t="inlineStr">
        <is>
          <t>High</t>
        </is>
      </c>
    </row>
    <row r="43">
      <c r="A43" s="4" t="inlineStr">
        <is>
          <t>PROD39</t>
        </is>
      </c>
      <c r="B43" s="4" t="inlineStr">
        <is>
          <t>Portable Power Bank</t>
        </is>
      </c>
      <c r="C43" s="4" t="inlineStr">
        <is>
          <t>Electronics</t>
        </is>
      </c>
      <c r="D43" s="4" t="inlineStr">
        <is>
          <t>Mobile</t>
        </is>
      </c>
      <c r="E43" s="4" t="inlineStr">
        <is>
          <t>Cummings and Sons</t>
        </is>
      </c>
      <c r="F43" s="4" t="n">
        <v>326.06</v>
      </c>
      <c r="G43" s="4" t="n">
        <v>301</v>
      </c>
      <c r="H43" s="11" t="inlineStr">
        <is>
          <t>High</t>
        </is>
      </c>
    </row>
    <row r="44">
      <c r="A44" s="5" t="inlineStr">
        <is>
          <t>PROD40</t>
        </is>
      </c>
      <c r="B44" s="5" t="inlineStr">
        <is>
          <t>Noise-Canceling Headphones</t>
        </is>
      </c>
      <c r="C44" s="5" t="inlineStr">
        <is>
          <t>Electronics</t>
        </is>
      </c>
      <c r="D44" s="5" t="inlineStr">
        <is>
          <t>Audio</t>
        </is>
      </c>
      <c r="E44" s="5" t="inlineStr">
        <is>
          <t>Taylor-Hart</t>
        </is>
      </c>
      <c r="F44" s="5" t="n">
        <v>38.52</v>
      </c>
      <c r="G44" s="5" t="n">
        <v>378</v>
      </c>
      <c r="H44" s="11" t="inlineStr">
        <is>
          <t>High</t>
        </is>
      </c>
    </row>
    <row r="45">
      <c r="A45" s="4" t="inlineStr">
        <is>
          <t>PROD41</t>
        </is>
      </c>
      <c r="B45" s="4" t="inlineStr">
        <is>
          <t>Yoga Exercise Mat</t>
        </is>
      </c>
      <c r="C45" s="4" t="inlineStr">
        <is>
          <t>Sports</t>
        </is>
      </c>
      <c r="D45" s="4" t="inlineStr">
        <is>
          <t>Fitness</t>
        </is>
      </c>
      <c r="E45" s="4" t="inlineStr">
        <is>
          <t>Carroll, Long and Mendoza</t>
        </is>
      </c>
      <c r="F45" s="4" t="n">
        <v>313.26</v>
      </c>
      <c r="G45" s="4" t="n">
        <v>369</v>
      </c>
      <c r="H45" s="11" t="inlineStr">
        <is>
          <t>High</t>
        </is>
      </c>
    </row>
    <row r="46">
      <c r="A46" s="5" t="inlineStr">
        <is>
          <t>PROD42</t>
        </is>
      </c>
      <c r="B46" s="5" t="inlineStr">
        <is>
          <t>Smart Home WiFi Camera</t>
        </is>
      </c>
      <c r="C46" s="5" t="inlineStr">
        <is>
          <t>Electronics</t>
        </is>
      </c>
      <c r="D46" s="5" t="inlineStr">
        <is>
          <t>Accessories</t>
        </is>
      </c>
      <c r="E46" s="5" t="inlineStr">
        <is>
          <t>Holmes LLC</t>
        </is>
      </c>
      <c r="F46" s="5" t="n">
        <v>450.71</v>
      </c>
      <c r="G46" s="5" t="n">
        <v>389</v>
      </c>
      <c r="H46" s="11" t="inlineStr">
        <is>
          <t>High</t>
        </is>
      </c>
    </row>
    <row r="47">
      <c r="A47" s="4" t="inlineStr">
        <is>
          <t>PROD43</t>
        </is>
      </c>
      <c r="B47" s="4" t="inlineStr">
        <is>
          <t>USB External Hard Drive</t>
        </is>
      </c>
      <c r="C47" s="4" t="inlineStr">
        <is>
          <t>Electronics</t>
        </is>
      </c>
      <c r="D47" s="4" t="inlineStr">
        <is>
          <t>Computer</t>
        </is>
      </c>
      <c r="E47" s="4" t="inlineStr">
        <is>
          <t>Robinson Inc</t>
        </is>
      </c>
      <c r="F47" s="4" t="n">
        <v>253.33</v>
      </c>
      <c r="G47" s="4" t="n">
        <v>266</v>
      </c>
      <c r="H47" s="11" t="inlineStr">
        <is>
          <t>High</t>
        </is>
      </c>
    </row>
    <row r="48">
      <c r="A48" s="5" t="inlineStr">
        <is>
          <t>PROD44</t>
        </is>
      </c>
      <c r="B48" s="5" t="inlineStr">
        <is>
          <t>Adjustable Jump Rope</t>
        </is>
      </c>
      <c r="C48" s="5" t="inlineStr">
        <is>
          <t>Sports</t>
        </is>
      </c>
      <c r="D48" s="5" t="inlineStr">
        <is>
          <t>Fitness</t>
        </is>
      </c>
      <c r="E48" s="5" t="inlineStr">
        <is>
          <t>Cox Inc</t>
        </is>
      </c>
      <c r="F48" s="5" t="n">
        <v>167.12</v>
      </c>
      <c r="G48" s="5" t="n">
        <v>316</v>
      </c>
      <c r="H48" s="11" t="inlineStr">
        <is>
          <t>High</t>
        </is>
      </c>
    </row>
    <row r="49">
      <c r="A49" s="4" t="inlineStr">
        <is>
          <t>PROD45</t>
        </is>
      </c>
      <c r="B49" s="4" t="inlineStr">
        <is>
          <t>High-Grip Football</t>
        </is>
      </c>
      <c r="C49" s="4" t="inlineStr">
        <is>
          <t>Sports</t>
        </is>
      </c>
      <c r="D49" s="4" t="inlineStr">
        <is>
          <t>Team Sports</t>
        </is>
      </c>
      <c r="E49" s="4" t="inlineStr">
        <is>
          <t>Bridges, Banks and Cummings</t>
        </is>
      </c>
      <c r="F49" s="4" t="n">
        <v>318.91</v>
      </c>
      <c r="G49" s="4" t="n">
        <v>114</v>
      </c>
      <c r="H49" s="4" t="inlineStr">
        <is>
          <t>Medium</t>
        </is>
      </c>
    </row>
    <row r="50">
      <c r="A50" s="5" t="inlineStr">
        <is>
          <t>PROD46</t>
        </is>
      </c>
      <c r="B50" s="5" t="inlineStr">
        <is>
          <t>Men's Winter Jacket</t>
        </is>
      </c>
      <c r="C50" s="5" t="inlineStr">
        <is>
          <t>Clothing</t>
        </is>
      </c>
      <c r="D50" s="5" t="inlineStr">
        <is>
          <t>Outerwear</t>
        </is>
      </c>
      <c r="E50" s="5" t="inlineStr">
        <is>
          <t>Kelly, Smith and Perez</t>
        </is>
      </c>
      <c r="F50" s="5" t="n">
        <v>167.34</v>
      </c>
      <c r="G50" s="5" t="n">
        <v>296</v>
      </c>
      <c r="H50" s="11" t="inlineStr">
        <is>
          <t>High</t>
        </is>
      </c>
    </row>
    <row r="51">
      <c r="A51" s="4" t="inlineStr">
        <is>
          <t>PROD47</t>
        </is>
      </c>
      <c r="B51" s="4" t="inlineStr">
        <is>
          <t>Makeup Brush Set</t>
        </is>
      </c>
      <c r="C51" s="4" t="inlineStr">
        <is>
          <t>Beauty</t>
        </is>
      </c>
      <c r="D51" s="4" t="inlineStr">
        <is>
          <t>Makeup</t>
        </is>
      </c>
      <c r="E51" s="4" t="inlineStr">
        <is>
          <t>Cook Inc</t>
        </is>
      </c>
      <c r="F51" s="9" t="n">
        <v>220</v>
      </c>
      <c r="G51" s="4" t="n">
        <v>431</v>
      </c>
      <c r="H51" s="11" t="inlineStr">
        <is>
          <t>High</t>
        </is>
      </c>
    </row>
    <row r="52">
      <c r="A52" s="5" t="inlineStr">
        <is>
          <t>PROD48</t>
        </is>
      </c>
      <c r="B52" s="5" t="inlineStr">
        <is>
          <t>Car Dashboard Phone Holder</t>
        </is>
      </c>
      <c r="C52" s="5" t="inlineStr">
        <is>
          <t>Electronics</t>
        </is>
      </c>
      <c r="D52" s="5" t="inlineStr">
        <is>
          <t>Accessories</t>
        </is>
      </c>
      <c r="E52" s="5" t="inlineStr">
        <is>
          <t>Byrd, Stewart and Valdez</t>
        </is>
      </c>
      <c r="F52" s="5" t="n">
        <v>177.98</v>
      </c>
      <c r="G52" s="5" t="n">
        <v>103</v>
      </c>
      <c r="H52" s="5" t="inlineStr">
        <is>
          <t>Medium</t>
        </is>
      </c>
    </row>
    <row r="53">
      <c r="A53" s="4" t="inlineStr">
        <is>
          <t>PROD49</t>
        </is>
      </c>
      <c r="B53" s="4" t="inlineStr">
        <is>
          <t>Men's Roll-On Perfume</t>
        </is>
      </c>
      <c r="C53" s="4" t="inlineStr">
        <is>
          <t>Beauty</t>
        </is>
      </c>
      <c r="D53" s="4" t="inlineStr">
        <is>
          <t>Fragrance</t>
        </is>
      </c>
      <c r="E53" s="4" t="inlineStr">
        <is>
          <t>Sullivan and Sons</t>
        </is>
      </c>
      <c r="F53" s="4" t="n">
        <v>43.29</v>
      </c>
      <c r="G53" s="4" t="n">
        <v>267</v>
      </c>
      <c r="H53" s="11" t="inlineStr">
        <is>
          <t>High</t>
        </is>
      </c>
    </row>
    <row r="54">
      <c r="A54" s="5" t="inlineStr">
        <is>
          <t>PROD50</t>
        </is>
      </c>
      <c r="B54" s="5" t="inlineStr">
        <is>
          <t>Boxing Hand Wraps</t>
        </is>
      </c>
      <c r="C54" s="5" t="inlineStr">
        <is>
          <t>Sports</t>
        </is>
      </c>
      <c r="D54" s="5" t="inlineStr">
        <is>
          <t>Fitness</t>
        </is>
      </c>
      <c r="E54" s="5" t="inlineStr">
        <is>
          <t>Smith-King</t>
        </is>
      </c>
      <c r="F54" s="5" t="n">
        <v>190.29</v>
      </c>
      <c r="G54" s="5" t="n">
        <v>260</v>
      </c>
      <c r="H54" s="11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2" customWidth="1" min="4" max="4"/>
    <col width="12" customWidth="1" min="5" max="5"/>
  </cols>
  <sheetData>
    <row r="1" ht="28" customHeight="1">
      <c r="A1" s="1" t="inlineStr">
        <is>
          <t>STORE DATA</t>
        </is>
      </c>
    </row>
    <row r="3" ht="30" customHeight="1">
      <c r="A3" s="2" t="inlineStr">
        <is>
          <t>Store_ID</t>
        </is>
      </c>
      <c r="B3" s="2" t="inlineStr">
        <is>
          <t>Store_Name</t>
        </is>
      </c>
      <c r="C3" s="2" t="inlineStr">
        <is>
          <t>Region</t>
        </is>
      </c>
      <c r="D3" s="2" t="inlineStr">
        <is>
          <t>City</t>
        </is>
      </c>
      <c r="E3" s="2" t="inlineStr">
        <is>
          <t>Store_Type</t>
        </is>
      </c>
    </row>
    <row r="4">
      <c r="A4" s="13" t="inlineStr">
        <is>
          <t>STORE0</t>
        </is>
      </c>
      <c r="B4" s="13" t="inlineStr">
        <is>
          <t>Rivera-Warner</t>
        </is>
      </c>
      <c r="C4" s="13" t="inlineStr">
        <is>
          <t>East</t>
        </is>
      </c>
      <c r="D4" s="13" t="inlineStr">
        <is>
          <t>Washingtonfurt</t>
        </is>
      </c>
      <c r="E4" s="13" t="inlineStr">
        <is>
          <t>Flagship</t>
        </is>
      </c>
    </row>
    <row r="5">
      <c r="A5" s="13" t="inlineStr">
        <is>
          <t>STORE1</t>
        </is>
      </c>
      <c r="B5" s="13" t="inlineStr">
        <is>
          <t>Martinez, Adkins and Johnson</t>
        </is>
      </c>
      <c r="C5" s="13" t="inlineStr">
        <is>
          <t>North</t>
        </is>
      </c>
      <c r="D5" s="13" t="inlineStr">
        <is>
          <t>Danielmouth</t>
        </is>
      </c>
      <c r="E5" s="13" t="inlineStr">
        <is>
          <t>Flagship</t>
        </is>
      </c>
    </row>
    <row r="6">
      <c r="A6" s="14" t="inlineStr">
        <is>
          <t>STORE2</t>
        </is>
      </c>
      <c r="B6" s="14" t="inlineStr">
        <is>
          <t>Black-Horn</t>
        </is>
      </c>
      <c r="C6" s="14" t="inlineStr">
        <is>
          <t>South</t>
        </is>
      </c>
      <c r="D6" s="14" t="inlineStr">
        <is>
          <t>North Nancyview</t>
        </is>
      </c>
      <c r="E6" s="14" t="inlineStr">
        <is>
          <t>Outlet</t>
        </is>
      </c>
    </row>
    <row r="7">
      <c r="A7" s="14" t="inlineStr">
        <is>
          <t>STORE3</t>
        </is>
      </c>
      <c r="B7" s="14" t="inlineStr">
        <is>
          <t>Johnson-Wright</t>
        </is>
      </c>
      <c r="C7" s="14" t="inlineStr">
        <is>
          <t>North</t>
        </is>
      </c>
      <c r="D7" s="14" t="inlineStr">
        <is>
          <t>Hoodberg</t>
        </is>
      </c>
      <c r="E7" s="14" t="inlineStr">
        <is>
          <t>Outlet</t>
        </is>
      </c>
    </row>
    <row r="8">
      <c r="A8" s="15" t="inlineStr">
        <is>
          <t>STORE4</t>
        </is>
      </c>
      <c r="B8" s="15" t="inlineStr">
        <is>
          <t>Alexander Group</t>
        </is>
      </c>
      <c r="C8" s="15" t="inlineStr">
        <is>
          <t>South</t>
        </is>
      </c>
      <c r="D8" s="15" t="inlineStr">
        <is>
          <t>Port Sharon</t>
        </is>
      </c>
      <c r="E8" s="15" t="inlineStr">
        <is>
          <t>Online</t>
        </is>
      </c>
    </row>
    <row r="9">
      <c r="A9" s="14" t="inlineStr">
        <is>
          <t>STORE5</t>
        </is>
      </c>
      <c r="B9" s="14" t="inlineStr">
        <is>
          <t>Gray Ltd</t>
        </is>
      </c>
      <c r="C9" s="14" t="inlineStr">
        <is>
          <t>North</t>
        </is>
      </c>
      <c r="D9" s="14" t="inlineStr">
        <is>
          <t>New Michaelchester</t>
        </is>
      </c>
      <c r="E9" s="14" t="inlineStr">
        <is>
          <t>Outlet</t>
        </is>
      </c>
    </row>
    <row r="10">
      <c r="A10" s="15" t="inlineStr">
        <is>
          <t>STORE6</t>
        </is>
      </c>
      <c r="B10" s="15" t="inlineStr">
        <is>
          <t>Benson-Elliott</t>
        </is>
      </c>
      <c r="C10" s="15" t="inlineStr">
        <is>
          <t>East</t>
        </is>
      </c>
      <c r="D10" s="15" t="inlineStr">
        <is>
          <t>Port Josephberg</t>
        </is>
      </c>
      <c r="E10" s="15" t="inlineStr">
        <is>
          <t>Online</t>
        </is>
      </c>
    </row>
    <row r="11">
      <c r="A11" s="15" t="inlineStr">
        <is>
          <t>STORE7</t>
        </is>
      </c>
      <c r="B11" s="15" t="inlineStr">
        <is>
          <t>Martinez-Mullins</t>
        </is>
      </c>
      <c r="C11" s="15" t="inlineStr">
        <is>
          <t>South</t>
        </is>
      </c>
      <c r="D11" s="15" t="inlineStr">
        <is>
          <t>Williamsfurt</t>
        </is>
      </c>
      <c r="E11" s="15" t="inlineStr">
        <is>
          <t>Online</t>
        </is>
      </c>
    </row>
    <row r="12">
      <c r="A12" s="15" t="inlineStr">
        <is>
          <t>STORE8</t>
        </is>
      </c>
      <c r="B12" s="15" t="inlineStr">
        <is>
          <t>Bean, Jones and Park</t>
        </is>
      </c>
      <c r="C12" s="15" t="inlineStr">
        <is>
          <t>West</t>
        </is>
      </c>
      <c r="D12" s="15" t="inlineStr">
        <is>
          <t>Thompsonborough</t>
        </is>
      </c>
      <c r="E12" s="15" t="inlineStr">
        <is>
          <t>Online</t>
        </is>
      </c>
    </row>
    <row r="13">
      <c r="A13" s="13" t="inlineStr">
        <is>
          <t>STORE9</t>
        </is>
      </c>
      <c r="B13" s="13" t="inlineStr">
        <is>
          <t>Moore, Padilla and Butler</t>
        </is>
      </c>
      <c r="C13" s="13" t="inlineStr">
        <is>
          <t>South</t>
        </is>
      </c>
      <c r="D13" s="13" t="inlineStr">
        <is>
          <t>East Johnstad</t>
        </is>
      </c>
      <c r="E13" s="13" t="inlineStr">
        <is>
          <t>Flagship</t>
        </is>
      </c>
    </row>
    <row r="14">
      <c r="A14" s="15" t="inlineStr">
        <is>
          <t>STORE10</t>
        </is>
      </c>
      <c r="B14" s="15" t="inlineStr">
        <is>
          <t>Hill, Wagner and Ballard</t>
        </is>
      </c>
      <c r="C14" s="15" t="inlineStr">
        <is>
          <t>East</t>
        </is>
      </c>
      <c r="D14" s="15" t="inlineStr">
        <is>
          <t>East Davidville</t>
        </is>
      </c>
      <c r="E14" s="15" t="inlineStr">
        <is>
          <t>Online</t>
        </is>
      </c>
    </row>
    <row r="15">
      <c r="A15" s="15" t="inlineStr">
        <is>
          <t>STORE11</t>
        </is>
      </c>
      <c r="B15" s="15" t="inlineStr">
        <is>
          <t>Aguirre-Keller</t>
        </is>
      </c>
      <c r="C15" s="15" t="inlineStr">
        <is>
          <t>South</t>
        </is>
      </c>
      <c r="D15" s="15" t="inlineStr">
        <is>
          <t>Lake Michael</t>
        </is>
      </c>
      <c r="E15" s="15" t="inlineStr">
        <is>
          <t>Online</t>
        </is>
      </c>
    </row>
    <row r="16">
      <c r="A16" s="15" t="inlineStr">
        <is>
          <t>STORE12</t>
        </is>
      </c>
      <c r="B16" s="15" t="inlineStr">
        <is>
          <t>Thomas, Bridges and Harris</t>
        </is>
      </c>
      <c r="C16" s="15" t="inlineStr">
        <is>
          <t>North</t>
        </is>
      </c>
      <c r="D16" s="15" t="inlineStr">
        <is>
          <t>Sabrinatown</t>
        </is>
      </c>
      <c r="E16" s="15" t="inlineStr">
        <is>
          <t>Online</t>
        </is>
      </c>
    </row>
    <row r="17">
      <c r="A17" s="13" t="inlineStr">
        <is>
          <t>STORE13</t>
        </is>
      </c>
      <c r="B17" s="13" t="inlineStr">
        <is>
          <t>Gardner, Humphrey and Contreras</t>
        </is>
      </c>
      <c r="C17" s="13" t="inlineStr">
        <is>
          <t>East</t>
        </is>
      </c>
      <c r="D17" s="13" t="inlineStr">
        <is>
          <t>Johnsonville</t>
        </is>
      </c>
      <c r="E17" s="13" t="inlineStr">
        <is>
          <t>Flagship</t>
        </is>
      </c>
    </row>
    <row r="18">
      <c r="A18" s="14" t="inlineStr">
        <is>
          <t>STORE14</t>
        </is>
      </c>
      <c r="B18" s="14" t="inlineStr">
        <is>
          <t>Mcdonald Inc</t>
        </is>
      </c>
      <c r="C18" s="14" t="inlineStr">
        <is>
          <t>South</t>
        </is>
      </c>
      <c r="D18" s="14" t="inlineStr">
        <is>
          <t>Christopherland</t>
        </is>
      </c>
      <c r="E18" s="14" t="inlineStr">
        <is>
          <t>Outlet</t>
        </is>
      </c>
    </row>
    <row r="19">
      <c r="A19" s="13" t="inlineStr">
        <is>
          <t>STORE15</t>
        </is>
      </c>
      <c r="B19" s="13" t="inlineStr">
        <is>
          <t>Shelton PLC</t>
        </is>
      </c>
      <c r="C19" s="13" t="inlineStr">
        <is>
          <t>North</t>
        </is>
      </c>
      <c r="D19" s="13" t="inlineStr">
        <is>
          <t>East Jenniferstad</t>
        </is>
      </c>
      <c r="E19" s="13" t="inlineStr">
        <is>
          <t>Flagship</t>
        </is>
      </c>
    </row>
    <row r="20">
      <c r="A20" s="13" t="inlineStr">
        <is>
          <t>STORE16</t>
        </is>
      </c>
      <c r="B20" s="13" t="inlineStr">
        <is>
          <t>Frederick-Wright</t>
        </is>
      </c>
      <c r="C20" s="13" t="inlineStr">
        <is>
          <t>West</t>
        </is>
      </c>
      <c r="D20" s="13" t="inlineStr">
        <is>
          <t>New Jimmymouth</t>
        </is>
      </c>
      <c r="E20" s="13" t="inlineStr">
        <is>
          <t>Flagship</t>
        </is>
      </c>
    </row>
    <row r="21">
      <c r="A21" s="13" t="inlineStr">
        <is>
          <t>STORE17</t>
        </is>
      </c>
      <c r="B21" s="13" t="inlineStr">
        <is>
          <t>Holloway Ltd</t>
        </is>
      </c>
      <c r="C21" s="13" t="inlineStr">
        <is>
          <t>North</t>
        </is>
      </c>
      <c r="D21" s="13" t="inlineStr">
        <is>
          <t>Bensonhaven</t>
        </is>
      </c>
      <c r="E21" s="13" t="inlineStr">
        <is>
          <t>Flagship</t>
        </is>
      </c>
    </row>
    <row r="22">
      <c r="A22" s="13" t="inlineStr">
        <is>
          <t>STORE18</t>
        </is>
      </c>
      <c r="B22" s="13" t="inlineStr">
        <is>
          <t>Guerrero-Schmitt</t>
        </is>
      </c>
      <c r="C22" s="13" t="inlineStr">
        <is>
          <t>East</t>
        </is>
      </c>
      <c r="D22" s="13" t="inlineStr">
        <is>
          <t>East Stevechester</t>
        </is>
      </c>
      <c r="E22" s="13" t="inlineStr">
        <is>
          <t>Flagship</t>
        </is>
      </c>
    </row>
    <row r="23">
      <c r="A23" s="15" t="inlineStr">
        <is>
          <t>STORE19</t>
        </is>
      </c>
      <c r="B23" s="15" t="inlineStr">
        <is>
          <t>Mann-Austin</t>
        </is>
      </c>
      <c r="C23" s="15" t="inlineStr">
        <is>
          <t>East</t>
        </is>
      </c>
      <c r="D23" s="15" t="inlineStr">
        <is>
          <t>Vasquezborough</t>
        </is>
      </c>
      <c r="E23" s="15" t="inlineStr">
        <is>
          <t>Online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0" customWidth="1" min="5" max="5"/>
    <col width="8" customWidth="1" min="6" max="6"/>
    <col width="12" customWidth="1" min="7" max="7"/>
    <col width="10" customWidth="1" min="8" max="8"/>
    <col width="13" customWidth="1" min="9" max="9"/>
    <col width="14" customWidth="1" min="10" max="10"/>
    <col width="24" customWidth="1" min="11" max="11"/>
    <col width="28" customWidth="1" min="12" max="12"/>
    <col width="14" customWidth="1" min="13" max="13"/>
    <col width="12" customWidth="1" min="14" max="14"/>
  </cols>
  <sheetData>
    <row r="1" ht="28" customHeight="1">
      <c r="A1" s="1" t="inlineStr">
        <is>
          <t>CLEANED SALES DATA — WITH XLOOKUP ENRICHMENT</t>
        </is>
      </c>
    </row>
    <row r="3" ht="30" customHeight="1">
      <c r="A3" s="2" t="inlineStr">
        <is>
          <t>Sale_ID</t>
        </is>
      </c>
      <c r="B3" s="2" t="inlineStr">
        <is>
          <t>Order_Date</t>
        </is>
      </c>
      <c r="C3" s="2" t="inlineStr">
        <is>
          <t>Customer_ID</t>
        </is>
      </c>
      <c r="D3" s="2" t="inlineStr">
        <is>
          <t>Product_ID</t>
        </is>
      </c>
      <c r="E3" s="2" t="inlineStr">
        <is>
          <t>Store_ID</t>
        </is>
      </c>
      <c r="F3" s="2" t="inlineStr">
        <is>
          <t>Quantity</t>
        </is>
      </c>
      <c r="G3" s="2" t="inlineStr">
        <is>
          <t>Unit_Price</t>
        </is>
      </c>
      <c r="H3" s="2" t="inlineStr">
        <is>
          <t>Discount</t>
        </is>
      </c>
      <c r="I3" s="2" t="inlineStr">
        <is>
          <t>Payment_Type</t>
        </is>
      </c>
      <c r="J3" s="2" t="inlineStr">
        <is>
          <t>Total_Amount</t>
        </is>
      </c>
      <c r="K3" s="2" t="inlineStr">
        <is>
          <t>Customer_Name</t>
        </is>
      </c>
      <c r="L3" s="2" t="inlineStr">
        <is>
          <t>Product_Name</t>
        </is>
      </c>
      <c r="M3" s="2" t="inlineStr">
        <is>
          <t>Category</t>
        </is>
      </c>
      <c r="N3" s="2" t="inlineStr">
        <is>
          <t>Store_Type</t>
        </is>
      </c>
    </row>
    <row r="4">
      <c r="A4" s="5" t="inlineStr">
        <is>
          <t>SALE0</t>
        </is>
      </c>
      <c r="B4" s="5" t="inlineStr">
        <is>
          <t>2024-07-07</t>
        </is>
      </c>
      <c r="C4" s="5" t="inlineStr">
        <is>
          <t>CUST1409</t>
        </is>
      </c>
      <c r="D4" s="5" t="inlineStr">
        <is>
          <t>PROD97</t>
        </is>
      </c>
      <c r="E4" s="5" t="inlineStr">
        <is>
          <t>STORE3</t>
        </is>
      </c>
      <c r="F4" s="5" t="n">
        <v>1</v>
      </c>
      <c r="G4" s="16" t="n">
        <v>218.04</v>
      </c>
      <c r="H4" s="17" t="n">
        <v>0.09</v>
      </c>
      <c r="I4" s="5" t="inlineStr">
        <is>
          <t>Credit Card</t>
        </is>
      </c>
      <c r="J4" s="16" t="n">
        <v>198.4164</v>
      </c>
      <c r="K4" s="18" t="inlineStr">
        <is>
          <t>Unknown</t>
        </is>
      </c>
      <c r="L4" s="18" t="inlineStr">
        <is>
          <t>Unknown</t>
        </is>
      </c>
      <c r="M4" s="18" t="inlineStr">
        <is>
          <t>Unknown</t>
        </is>
      </c>
      <c r="N4" s="18" t="inlineStr">
        <is>
          <t>Outlet</t>
        </is>
      </c>
    </row>
    <row r="5">
      <c r="A5" s="4" t="inlineStr">
        <is>
          <t>SALE1</t>
        </is>
      </c>
      <c r="B5" s="4" t="inlineStr">
        <is>
          <t>2023-12-25</t>
        </is>
      </c>
      <c r="C5" s="4" t="inlineStr">
        <is>
          <t>CUST1467</t>
        </is>
      </c>
      <c r="D5" s="4" t="inlineStr">
        <is>
          <t>PROD74</t>
        </is>
      </c>
      <c r="E5" s="4" t="inlineStr">
        <is>
          <t>STORE17</t>
        </is>
      </c>
      <c r="F5" s="4" t="n">
        <v>3</v>
      </c>
      <c r="G5" s="19" t="n">
        <v>104.47</v>
      </c>
      <c r="H5" s="20" t="n">
        <v>0.27</v>
      </c>
      <c r="I5" s="4" t="inlineStr">
        <is>
          <t>PayPal</t>
        </is>
      </c>
      <c r="J5" s="19" t="n">
        <v>228.7893</v>
      </c>
      <c r="K5" s="18" t="inlineStr">
        <is>
          <t>Unknown</t>
        </is>
      </c>
      <c r="L5" s="18" t="inlineStr">
        <is>
          <t>Unknown</t>
        </is>
      </c>
      <c r="M5" s="18" t="inlineStr">
        <is>
          <t>Unknown</t>
        </is>
      </c>
      <c r="N5" s="18" t="inlineStr">
        <is>
          <t>Flagship</t>
        </is>
      </c>
    </row>
    <row r="6">
      <c r="A6" s="5" t="inlineStr">
        <is>
          <t>SALE2</t>
        </is>
      </c>
      <c r="B6" s="5" t="inlineStr">
        <is>
          <t>2024-06-03</t>
        </is>
      </c>
      <c r="C6" s="5" t="inlineStr">
        <is>
          <t>CUST1056</t>
        </is>
      </c>
      <c r="D6" s="5" t="inlineStr">
        <is>
          <t>PROD49</t>
        </is>
      </c>
      <c r="E6" s="5" t="inlineStr">
        <is>
          <t>STORE8</t>
        </is>
      </c>
      <c r="F6" s="5" t="n">
        <v>4</v>
      </c>
      <c r="G6" s="16" t="n">
        <v>914.05</v>
      </c>
      <c r="H6" s="17" t="n">
        <v>0.25</v>
      </c>
      <c r="I6" s="5" t="inlineStr">
        <is>
          <t>Credit Card</t>
        </is>
      </c>
      <c r="J6" s="16" t="n">
        <v>2742.15</v>
      </c>
      <c r="K6" s="18" t="inlineStr">
        <is>
          <t>Unknown</t>
        </is>
      </c>
      <c r="L6" s="18" t="inlineStr">
        <is>
          <t>Men's Roll-On Perfume</t>
        </is>
      </c>
      <c r="M6" s="18" t="inlineStr">
        <is>
          <t>Beauty</t>
        </is>
      </c>
      <c r="N6" s="18" t="inlineStr">
        <is>
          <t>Online</t>
        </is>
      </c>
    </row>
    <row r="7">
      <c r="A7" s="4" t="inlineStr">
        <is>
          <t>SALE3</t>
        </is>
      </c>
      <c r="B7" s="4" t="inlineStr">
        <is>
          <t>2023-11-29</t>
        </is>
      </c>
      <c r="C7" s="4" t="inlineStr">
        <is>
          <t>CUST1346</t>
        </is>
      </c>
      <c r="D7" s="4" t="inlineStr">
        <is>
          <t>PROD76</t>
        </is>
      </c>
      <c r="E7" s="4" t="inlineStr">
        <is>
          <t>STORE8</t>
        </is>
      </c>
      <c r="F7" s="4" t="n">
        <v>1</v>
      </c>
      <c r="G7" s="19" t="n">
        <v>921.51</v>
      </c>
      <c r="H7" s="20" t="n">
        <v>0.16</v>
      </c>
      <c r="I7" s="4" t="inlineStr">
        <is>
          <t>COD</t>
        </is>
      </c>
      <c r="J7" s="19" t="n">
        <v>774.0684</v>
      </c>
      <c r="K7" s="18" t="inlineStr">
        <is>
          <t>Unknown</t>
        </is>
      </c>
      <c r="L7" s="18" t="inlineStr">
        <is>
          <t>Unknown</t>
        </is>
      </c>
      <c r="M7" s="18" t="inlineStr">
        <is>
          <t>Unknown</t>
        </is>
      </c>
      <c r="N7" s="18" t="inlineStr">
        <is>
          <t>Online</t>
        </is>
      </c>
    </row>
    <row r="8">
      <c r="A8" s="5" t="inlineStr">
        <is>
          <t>SALE4</t>
        </is>
      </c>
      <c r="B8" s="5" t="inlineStr">
        <is>
          <t>2024-01-06</t>
        </is>
      </c>
      <c r="C8" s="5" t="inlineStr">
        <is>
          <t>CUST1493</t>
        </is>
      </c>
      <c r="D8" s="5" t="inlineStr">
        <is>
          <t>PROD59</t>
        </is>
      </c>
      <c r="E8" s="5" t="inlineStr">
        <is>
          <t>STORE5</t>
        </is>
      </c>
      <c r="F8" s="5" t="n">
        <v>3</v>
      </c>
      <c r="G8" s="16" t="n">
        <v>745.3</v>
      </c>
      <c r="H8" s="17" t="n">
        <v>0.18</v>
      </c>
      <c r="I8" s="5" t="inlineStr">
        <is>
          <t>Credit Card</t>
        </is>
      </c>
      <c r="J8" s="16" t="n">
        <v>1833.438</v>
      </c>
      <c r="K8" s="18" t="inlineStr">
        <is>
          <t>Unknown</t>
        </is>
      </c>
      <c r="L8" s="18" t="inlineStr">
        <is>
          <t>Unknown</t>
        </is>
      </c>
      <c r="M8" s="18" t="inlineStr">
        <is>
          <t>Unknown</t>
        </is>
      </c>
      <c r="N8" s="18" t="inlineStr">
        <is>
          <t>Outlet</t>
        </is>
      </c>
    </row>
    <row r="9">
      <c r="A9" s="4" t="inlineStr">
        <is>
          <t>SALE5</t>
        </is>
      </c>
      <c r="B9" s="4" t="inlineStr">
        <is>
          <t>2024-07-26</t>
        </is>
      </c>
      <c r="C9" s="4" t="inlineStr">
        <is>
          <t>CUST1116</t>
        </is>
      </c>
      <c r="D9" s="4" t="inlineStr">
        <is>
          <t>PROD15</t>
        </is>
      </c>
      <c r="E9" s="4" t="inlineStr">
        <is>
          <t>STORE7</t>
        </is>
      </c>
      <c r="F9" s="4" t="n">
        <v>3</v>
      </c>
      <c r="G9" s="19" t="n">
        <v>147.01</v>
      </c>
      <c r="H9" s="20" t="n">
        <v>0.19</v>
      </c>
      <c r="I9" s="4" t="inlineStr">
        <is>
          <t>COD</t>
        </is>
      </c>
      <c r="J9" s="19" t="n">
        <v>357.2343</v>
      </c>
      <c r="K9" s="18" t="inlineStr">
        <is>
          <t>Unknown</t>
        </is>
      </c>
      <c r="L9" s="18" t="inlineStr">
        <is>
          <t>4K Home Projector</t>
        </is>
      </c>
      <c r="M9" s="18" t="inlineStr">
        <is>
          <t>Electronics</t>
        </is>
      </c>
      <c r="N9" s="18" t="inlineStr">
        <is>
          <t>Online</t>
        </is>
      </c>
    </row>
    <row r="10">
      <c r="A10" s="5" t="inlineStr">
        <is>
          <t>SALE6</t>
        </is>
      </c>
      <c r="B10" s="5" t="inlineStr">
        <is>
          <t>2025-07-12</t>
        </is>
      </c>
      <c r="C10" s="5" t="inlineStr">
        <is>
          <t>CUST1016</t>
        </is>
      </c>
      <c r="D10" s="5" t="inlineStr">
        <is>
          <t>PROD56</t>
        </is>
      </c>
      <c r="E10" s="5" t="inlineStr">
        <is>
          <t>STORE4</t>
        </is>
      </c>
      <c r="F10" s="5" t="n">
        <v>2</v>
      </c>
      <c r="G10" s="16" t="n">
        <v>785.3099999999999</v>
      </c>
      <c r="H10" s="17" t="n">
        <v>0.15</v>
      </c>
      <c r="I10" s="5" t="inlineStr">
        <is>
          <t>PayPal</t>
        </is>
      </c>
      <c r="J10" s="16" t="n">
        <v>1335.027</v>
      </c>
      <c r="K10" s="18" t="inlineStr">
        <is>
          <t>John Scott</t>
        </is>
      </c>
      <c r="L10" s="18" t="inlineStr">
        <is>
          <t>Unknown</t>
        </is>
      </c>
      <c r="M10" s="18" t="inlineStr">
        <is>
          <t>Unknown</t>
        </is>
      </c>
      <c r="N10" s="18" t="inlineStr">
        <is>
          <t>Online</t>
        </is>
      </c>
    </row>
    <row r="11">
      <c r="A11" s="4" t="inlineStr">
        <is>
          <t>SALE7</t>
        </is>
      </c>
      <c r="B11" s="4" t="inlineStr">
        <is>
          <t>2023-11-18</t>
        </is>
      </c>
      <c r="C11" s="4" t="inlineStr">
        <is>
          <t>CUST1152</t>
        </is>
      </c>
      <c r="D11" s="4" t="inlineStr">
        <is>
          <t>PROD70</t>
        </is>
      </c>
      <c r="E11" s="4" t="inlineStr">
        <is>
          <t>STORE8</t>
        </is>
      </c>
      <c r="F11" s="4" t="n">
        <v>4</v>
      </c>
      <c r="G11" s="19" t="n">
        <v>342.39</v>
      </c>
      <c r="H11" s="20" t="n">
        <v>0.23</v>
      </c>
      <c r="I11" s="4" t="inlineStr">
        <is>
          <t>PayPal</t>
        </is>
      </c>
      <c r="J11" s="19" t="n">
        <v>1054.5612</v>
      </c>
      <c r="K11" s="18" t="inlineStr">
        <is>
          <t>Unknown</t>
        </is>
      </c>
      <c r="L11" s="18" t="inlineStr">
        <is>
          <t>Unknown</t>
        </is>
      </c>
      <c r="M11" s="18" t="inlineStr">
        <is>
          <t>Unknown</t>
        </is>
      </c>
      <c r="N11" s="18" t="inlineStr">
        <is>
          <t>Online</t>
        </is>
      </c>
    </row>
    <row r="12">
      <c r="A12" s="5" t="inlineStr">
        <is>
          <t>SALE8</t>
        </is>
      </c>
      <c r="B12" s="5" t="inlineStr">
        <is>
          <t>2025-05-04</t>
        </is>
      </c>
      <c r="C12" s="5" t="inlineStr">
        <is>
          <t>CUST1187</t>
        </is>
      </c>
      <c r="D12" s="5" t="inlineStr">
        <is>
          <t>PROD99</t>
        </is>
      </c>
      <c r="E12" s="5" t="inlineStr">
        <is>
          <t>STORE5</t>
        </is>
      </c>
      <c r="F12" s="21" t="n">
        <v>1</v>
      </c>
      <c r="G12" s="16" t="n">
        <v>448.25</v>
      </c>
      <c r="H12" s="17" t="n">
        <v>0.07000000000000001</v>
      </c>
      <c r="I12" s="5" t="inlineStr">
        <is>
          <t>PayPal</t>
        </is>
      </c>
      <c r="J12" s="16" t="n">
        <v>1250.6175</v>
      </c>
      <c r="K12" s="18" t="inlineStr">
        <is>
          <t>Unknown</t>
        </is>
      </c>
      <c r="L12" s="18" t="inlineStr">
        <is>
          <t>Unknown</t>
        </is>
      </c>
      <c r="M12" s="18" t="inlineStr">
        <is>
          <t>Unknown</t>
        </is>
      </c>
      <c r="N12" s="18" t="inlineStr">
        <is>
          <t>Outlet</t>
        </is>
      </c>
    </row>
    <row r="13">
      <c r="A13" s="4" t="inlineStr">
        <is>
          <t>SALE9</t>
        </is>
      </c>
      <c r="B13" s="4" t="inlineStr">
        <is>
          <t>2025-07-31</t>
        </is>
      </c>
      <c r="C13" s="4" t="inlineStr">
        <is>
          <t>CUST1464</t>
        </is>
      </c>
      <c r="D13" s="4" t="inlineStr">
        <is>
          <t>PROD33</t>
        </is>
      </c>
      <c r="E13" s="4" t="inlineStr">
        <is>
          <t>STORE0</t>
        </is>
      </c>
      <c r="F13" s="4" t="n">
        <v>2</v>
      </c>
      <c r="G13" s="19" t="n">
        <v>873.17</v>
      </c>
      <c r="H13" s="20" t="n">
        <v>0.23</v>
      </c>
      <c r="I13" s="4" t="inlineStr">
        <is>
          <t>PayPal</t>
        </is>
      </c>
      <c r="J13" s="19" t="n">
        <v>1344.6818</v>
      </c>
      <c r="K13" s="18" t="inlineStr">
        <is>
          <t>Unknown</t>
        </is>
      </c>
      <c r="L13" s="18" t="inlineStr">
        <is>
          <t>Modern Wall Clock</t>
        </is>
      </c>
      <c r="M13" s="18" t="inlineStr">
        <is>
          <t>Home</t>
        </is>
      </c>
      <c r="N13" s="18" t="inlineStr">
        <is>
          <t>Flagship</t>
        </is>
      </c>
    </row>
    <row r="14">
      <c r="A14" s="5" t="inlineStr">
        <is>
          <t>SALE10</t>
        </is>
      </c>
      <c r="B14" s="5" t="inlineStr">
        <is>
          <t>2024-02-13</t>
        </is>
      </c>
      <c r="C14" s="5" t="inlineStr">
        <is>
          <t>CUST1065</t>
        </is>
      </c>
      <c r="D14" s="5" t="inlineStr">
        <is>
          <t>PROD24</t>
        </is>
      </c>
      <c r="E14" s="5" t="inlineStr">
        <is>
          <t>STORE14</t>
        </is>
      </c>
      <c r="F14" s="5" t="n">
        <v>1</v>
      </c>
      <c r="G14" s="16" t="n">
        <v>278.63</v>
      </c>
      <c r="H14" s="17" t="n">
        <v>0.07000000000000001</v>
      </c>
      <c r="I14" s="5" t="inlineStr">
        <is>
          <t>Credit Card</t>
        </is>
      </c>
      <c r="J14" s="16" t="n">
        <v>259.1259</v>
      </c>
      <c r="K14" s="18" t="inlineStr">
        <is>
          <t>Unknown</t>
        </is>
      </c>
      <c r="L14" s="18" t="inlineStr">
        <is>
          <t>Foldable Camping Chair</t>
        </is>
      </c>
      <c r="M14" s="18" t="inlineStr">
        <is>
          <t>Sports</t>
        </is>
      </c>
      <c r="N14" s="18" t="inlineStr">
        <is>
          <t>Outlet</t>
        </is>
      </c>
    </row>
    <row r="15">
      <c r="A15" s="4" t="inlineStr">
        <is>
          <t>SALE11</t>
        </is>
      </c>
      <c r="B15" s="4" t="inlineStr">
        <is>
          <t>2025-05-24</t>
        </is>
      </c>
      <c r="C15" s="4" t="inlineStr">
        <is>
          <t>CUST1320</t>
        </is>
      </c>
      <c r="D15" s="4" t="inlineStr">
        <is>
          <t>PROD39</t>
        </is>
      </c>
      <c r="E15" s="4" t="inlineStr">
        <is>
          <t>STORE1</t>
        </is>
      </c>
      <c r="F15" s="4" t="n">
        <v>4</v>
      </c>
      <c r="G15" s="19" t="n">
        <v>286.92</v>
      </c>
      <c r="H15" s="20" t="n">
        <v>0.17</v>
      </c>
      <c r="I15" s="4" t="inlineStr">
        <is>
          <t>Credit Card</t>
        </is>
      </c>
      <c r="J15" s="19" t="n">
        <v>952.5744</v>
      </c>
      <c r="K15" s="18" t="inlineStr">
        <is>
          <t>Unknown</t>
        </is>
      </c>
      <c r="L15" s="18" t="inlineStr">
        <is>
          <t>Portable Power Bank</t>
        </is>
      </c>
      <c r="M15" s="18" t="inlineStr">
        <is>
          <t>Electronics</t>
        </is>
      </c>
      <c r="N15" s="18" t="inlineStr">
        <is>
          <t>Flagship</t>
        </is>
      </c>
    </row>
    <row r="16">
      <c r="A16" s="5" t="inlineStr">
        <is>
          <t>SALE12</t>
        </is>
      </c>
      <c r="B16" s="5" t="inlineStr">
        <is>
          <t>2024-08-24</t>
        </is>
      </c>
      <c r="C16" s="5" t="inlineStr">
        <is>
          <t>CUST1237</t>
        </is>
      </c>
      <c r="D16" s="5" t="inlineStr">
        <is>
          <t>PROD88</t>
        </is>
      </c>
      <c r="E16" s="5" t="inlineStr">
        <is>
          <t>STORE4</t>
        </is>
      </c>
      <c r="F16" s="5" t="n">
        <v>4</v>
      </c>
      <c r="G16" s="16" t="n">
        <v>644.58</v>
      </c>
      <c r="H16" s="17" t="n">
        <v>0.01</v>
      </c>
      <c r="I16" s="5" t="inlineStr">
        <is>
          <t>Credit Card</t>
        </is>
      </c>
      <c r="J16" s="16" t="n">
        <v>2552.5368</v>
      </c>
      <c r="K16" s="18" t="inlineStr">
        <is>
          <t>Unknown</t>
        </is>
      </c>
      <c r="L16" s="18" t="inlineStr">
        <is>
          <t>Unknown</t>
        </is>
      </c>
      <c r="M16" s="18" t="inlineStr">
        <is>
          <t>Unknown</t>
        </is>
      </c>
      <c r="N16" s="18" t="inlineStr">
        <is>
          <t>Online</t>
        </is>
      </c>
    </row>
    <row r="17">
      <c r="A17" s="4" t="inlineStr">
        <is>
          <t>SALE13</t>
        </is>
      </c>
      <c r="B17" s="4" t="inlineStr">
        <is>
          <t>2025-08-06</t>
        </is>
      </c>
      <c r="C17" s="4" t="inlineStr">
        <is>
          <t>CUST1443</t>
        </is>
      </c>
      <c r="D17" s="4" t="inlineStr">
        <is>
          <t>PROD34</t>
        </is>
      </c>
      <c r="E17" s="4" t="inlineStr">
        <is>
          <t>STORE16</t>
        </is>
      </c>
      <c r="F17" s="4" t="n">
        <v>2</v>
      </c>
      <c r="G17" s="19" t="n">
        <v>316.9</v>
      </c>
      <c r="H17" s="20" t="n">
        <v>0.3</v>
      </c>
      <c r="I17" s="4" t="inlineStr">
        <is>
          <t>PayPal</t>
        </is>
      </c>
      <c r="J17" s="19" t="n">
        <v>443.66</v>
      </c>
      <c r="K17" s="18" t="inlineStr">
        <is>
          <t>Unknown</t>
        </is>
      </c>
      <c r="L17" s="18" t="inlineStr">
        <is>
          <t>Gaming Mechanical Keyboard</t>
        </is>
      </c>
      <c r="M17" s="18" t="inlineStr">
        <is>
          <t>Electronics</t>
        </is>
      </c>
      <c r="N17" s="18" t="inlineStr">
        <is>
          <t>Flagship</t>
        </is>
      </c>
    </row>
    <row r="18">
      <c r="A18" s="5" t="inlineStr">
        <is>
          <t>SALE14</t>
        </is>
      </c>
      <c r="B18" s="5" t="inlineStr">
        <is>
          <t>2025-06-21</t>
        </is>
      </c>
      <c r="C18" s="5" t="inlineStr">
        <is>
          <t>CUST1348</t>
        </is>
      </c>
      <c r="D18" s="5" t="inlineStr">
        <is>
          <t>PROD24</t>
        </is>
      </c>
      <c r="E18" s="5" t="inlineStr">
        <is>
          <t>STORE15</t>
        </is>
      </c>
      <c r="F18" s="5" t="n">
        <v>4</v>
      </c>
      <c r="G18" s="16" t="n">
        <v>403.47</v>
      </c>
      <c r="H18" s="17" t="n">
        <v>0.29</v>
      </c>
      <c r="I18" s="5" t="inlineStr">
        <is>
          <t>PayPal</t>
        </is>
      </c>
      <c r="J18" s="16" t="n">
        <v>1145.8548</v>
      </c>
      <c r="K18" s="18" t="inlineStr">
        <is>
          <t>Unknown</t>
        </is>
      </c>
      <c r="L18" s="18" t="inlineStr">
        <is>
          <t>Foldable Camping Chair</t>
        </is>
      </c>
      <c r="M18" s="18" t="inlineStr">
        <is>
          <t>Sports</t>
        </is>
      </c>
      <c r="N18" s="18" t="inlineStr">
        <is>
          <t>Flagship</t>
        </is>
      </c>
    </row>
    <row r="19">
      <c r="A19" s="4" t="inlineStr">
        <is>
          <t>SALE15</t>
        </is>
      </c>
      <c r="B19" s="4" t="inlineStr">
        <is>
          <t>2024-12-10</t>
        </is>
      </c>
      <c r="C19" s="4" t="inlineStr">
        <is>
          <t>CUST1435</t>
        </is>
      </c>
      <c r="D19" s="4" t="inlineStr">
        <is>
          <t>PROD36</t>
        </is>
      </c>
      <c r="E19" s="4" t="inlineStr">
        <is>
          <t>STORE9</t>
        </is>
      </c>
      <c r="F19" s="21" t="n">
        <v>1</v>
      </c>
      <c r="G19" s="19" t="n">
        <v>871.34</v>
      </c>
      <c r="H19" s="20" t="n">
        <v>0.04</v>
      </c>
      <c r="I19" s="4" t="inlineStr">
        <is>
          <t>COD</t>
        </is>
      </c>
      <c r="J19" s="19" t="n">
        <v>2509.4592</v>
      </c>
      <c r="K19" s="18" t="inlineStr">
        <is>
          <t>Unknown</t>
        </is>
      </c>
      <c r="L19" s="18" t="inlineStr">
        <is>
          <t>Women's Summer Dress</t>
        </is>
      </c>
      <c r="M19" s="18" t="inlineStr">
        <is>
          <t>Clothing</t>
        </is>
      </c>
      <c r="N19" s="18" t="inlineStr">
        <is>
          <t>Flagship</t>
        </is>
      </c>
    </row>
    <row r="20">
      <c r="A20" s="5" t="inlineStr">
        <is>
          <t>SALE16</t>
        </is>
      </c>
      <c r="B20" s="5" t="inlineStr">
        <is>
          <t>2025-09-13</t>
        </is>
      </c>
      <c r="C20" s="5" t="inlineStr">
        <is>
          <t>CUST1276</t>
        </is>
      </c>
      <c r="D20" s="5" t="inlineStr">
        <is>
          <t>PROD65</t>
        </is>
      </c>
      <c r="E20" s="5" t="inlineStr">
        <is>
          <t>STORE19</t>
        </is>
      </c>
      <c r="F20" s="5" t="n">
        <v>2</v>
      </c>
      <c r="G20" s="16" t="n">
        <v>451.98</v>
      </c>
      <c r="H20" s="17" t="n">
        <v>0.25</v>
      </c>
      <c r="I20" s="5" t="inlineStr">
        <is>
          <t>Credit Card</t>
        </is>
      </c>
      <c r="J20" s="16" t="n">
        <v>677.97</v>
      </c>
      <c r="K20" s="18" t="inlineStr">
        <is>
          <t>Unknown</t>
        </is>
      </c>
      <c r="L20" s="18" t="inlineStr">
        <is>
          <t>Unknown</t>
        </is>
      </c>
      <c r="M20" s="18" t="inlineStr">
        <is>
          <t>Unknown</t>
        </is>
      </c>
      <c r="N20" s="18" t="inlineStr">
        <is>
          <t>Online</t>
        </is>
      </c>
    </row>
    <row r="21">
      <c r="A21" s="4" t="inlineStr">
        <is>
          <t>SALE17</t>
        </is>
      </c>
      <c r="B21" s="4" t="inlineStr">
        <is>
          <t>2024-12-11</t>
        </is>
      </c>
      <c r="C21" s="4" t="inlineStr">
        <is>
          <t>CUST1079</t>
        </is>
      </c>
      <c r="D21" s="4" t="inlineStr">
        <is>
          <t>PROD27</t>
        </is>
      </c>
      <c r="E21" s="4" t="inlineStr">
        <is>
          <t>STORE4</t>
        </is>
      </c>
      <c r="F21" s="4" t="n">
        <v>2</v>
      </c>
      <c r="G21" s="19" t="n">
        <v>502.69</v>
      </c>
      <c r="H21" s="20" t="n">
        <v>0.23</v>
      </c>
      <c r="I21" s="4" t="inlineStr">
        <is>
          <t>Credit Card</t>
        </is>
      </c>
      <c r="J21" s="19" t="n">
        <v>774.1426</v>
      </c>
      <c r="K21" s="18" t="inlineStr">
        <is>
          <t>Unknown</t>
        </is>
      </c>
      <c r="L21" s="18" t="inlineStr">
        <is>
          <t>Decorative Floor Vase</t>
        </is>
      </c>
      <c r="M21" s="18" t="inlineStr">
        <is>
          <t>Home</t>
        </is>
      </c>
      <c r="N21" s="18" t="inlineStr">
        <is>
          <t>Online</t>
        </is>
      </c>
    </row>
    <row r="22">
      <c r="A22" s="5" t="inlineStr">
        <is>
          <t>SALE18</t>
        </is>
      </c>
      <c r="B22" s="5" t="inlineStr">
        <is>
          <t>2024-08-13</t>
        </is>
      </c>
      <c r="C22" s="5" t="inlineStr">
        <is>
          <t>CUST1094</t>
        </is>
      </c>
      <c r="D22" s="5" t="inlineStr">
        <is>
          <t>PROD39</t>
        </is>
      </c>
      <c r="E22" s="5" t="inlineStr">
        <is>
          <t>STORE4</t>
        </is>
      </c>
      <c r="F22" s="5" t="n">
        <v>2</v>
      </c>
      <c r="G22" s="16" t="n">
        <v>559.23</v>
      </c>
      <c r="H22" s="17" t="n">
        <v>0.25</v>
      </c>
      <c r="I22" s="5" t="inlineStr">
        <is>
          <t>COD</t>
        </is>
      </c>
      <c r="J22" s="16" t="n">
        <v>838.845</v>
      </c>
      <c r="K22" s="18" t="inlineStr">
        <is>
          <t>Unknown</t>
        </is>
      </c>
      <c r="L22" s="18" t="inlineStr">
        <is>
          <t>Portable Power Bank</t>
        </is>
      </c>
      <c r="M22" s="18" t="inlineStr">
        <is>
          <t>Electronics</t>
        </is>
      </c>
      <c r="N22" s="18" t="inlineStr">
        <is>
          <t>Online</t>
        </is>
      </c>
    </row>
    <row r="23">
      <c r="A23" s="4" t="inlineStr">
        <is>
          <t>SALE19</t>
        </is>
      </c>
      <c r="B23" s="4" t="inlineStr">
        <is>
          <t>2024-03-18</t>
        </is>
      </c>
      <c r="C23" s="4" t="inlineStr">
        <is>
          <t>CUST1239</t>
        </is>
      </c>
      <c r="D23" s="4" t="inlineStr">
        <is>
          <t>PROD60</t>
        </is>
      </c>
      <c r="E23" s="4" t="inlineStr">
        <is>
          <t>STORE13</t>
        </is>
      </c>
      <c r="F23" s="4" t="n">
        <v>4</v>
      </c>
      <c r="G23" s="22" t="n">
        <v>0</v>
      </c>
      <c r="H23" s="20" t="n">
        <v>0.04</v>
      </c>
      <c r="I23" s="4" t="inlineStr">
        <is>
          <t>COD</t>
        </is>
      </c>
      <c r="J23" s="19" t="n">
        <v>1782.4512</v>
      </c>
      <c r="K23" s="18" t="inlineStr">
        <is>
          <t>Unknown</t>
        </is>
      </c>
      <c r="L23" s="18" t="inlineStr">
        <is>
          <t>Unknown</t>
        </is>
      </c>
      <c r="M23" s="18" t="inlineStr">
        <is>
          <t>Unknown</t>
        </is>
      </c>
      <c r="N23" s="18" t="inlineStr">
        <is>
          <t>Flagship</t>
        </is>
      </c>
    </row>
    <row r="24">
      <c r="A24" s="5" t="inlineStr">
        <is>
          <t>SALE20</t>
        </is>
      </c>
      <c r="B24" s="5" t="inlineStr">
        <is>
          <t>2025-07-05</t>
        </is>
      </c>
      <c r="C24" s="5" t="inlineStr">
        <is>
          <t>CUST1144</t>
        </is>
      </c>
      <c r="D24" s="5" t="inlineStr">
        <is>
          <t>PROD72</t>
        </is>
      </c>
      <c r="E24" s="5" t="inlineStr">
        <is>
          <t>STORE17</t>
        </is>
      </c>
      <c r="F24" s="5" t="n">
        <v>3</v>
      </c>
      <c r="G24" s="16" t="n">
        <v>986.04</v>
      </c>
      <c r="H24" s="17" t="n">
        <v>0.27</v>
      </c>
      <c r="I24" s="5" t="inlineStr">
        <is>
          <t>COD</t>
        </is>
      </c>
      <c r="J24" s="16" t="n">
        <v>2159.4276</v>
      </c>
      <c r="K24" s="18" t="inlineStr">
        <is>
          <t>Unknown</t>
        </is>
      </c>
      <c r="L24" s="18" t="inlineStr">
        <is>
          <t>Unknown</t>
        </is>
      </c>
      <c r="M24" s="18" t="inlineStr">
        <is>
          <t>Unknown</t>
        </is>
      </c>
      <c r="N24" s="18" t="inlineStr">
        <is>
          <t>Flagship</t>
        </is>
      </c>
    </row>
    <row r="25">
      <c r="A25" s="4" t="inlineStr">
        <is>
          <t>SALE21</t>
        </is>
      </c>
      <c r="B25" s="4" t="inlineStr">
        <is>
          <t>2024-06-04</t>
        </is>
      </c>
      <c r="C25" s="4" t="inlineStr">
        <is>
          <t>CUST1396</t>
        </is>
      </c>
      <c r="D25" s="4" t="inlineStr">
        <is>
          <t>PROD43</t>
        </is>
      </c>
      <c r="E25" s="4" t="inlineStr">
        <is>
          <t>STORE18</t>
        </is>
      </c>
      <c r="F25" s="4" t="n">
        <v>1</v>
      </c>
      <c r="G25" s="19" t="n">
        <v>589.5599999999999</v>
      </c>
      <c r="H25" s="20" t="n">
        <v>0.22</v>
      </c>
      <c r="I25" s="4" t="inlineStr">
        <is>
          <t>Credit Card</t>
        </is>
      </c>
      <c r="J25" s="19" t="n">
        <v>459.8568</v>
      </c>
      <c r="K25" s="18" t="inlineStr">
        <is>
          <t>Unknown</t>
        </is>
      </c>
      <c r="L25" s="18" t="inlineStr">
        <is>
          <t>USB External Hard Drive</t>
        </is>
      </c>
      <c r="M25" s="18" t="inlineStr">
        <is>
          <t>Electronics</t>
        </is>
      </c>
      <c r="N25" s="18" t="inlineStr">
        <is>
          <t>Flagship</t>
        </is>
      </c>
    </row>
    <row r="26">
      <c r="A26" s="5" t="inlineStr">
        <is>
          <t>SALE22</t>
        </is>
      </c>
      <c r="B26" s="5" t="inlineStr">
        <is>
          <t>2024-04-12</t>
        </is>
      </c>
      <c r="C26" s="5" t="inlineStr">
        <is>
          <t>CUST1476</t>
        </is>
      </c>
      <c r="D26" s="5" t="inlineStr">
        <is>
          <t>PROD69</t>
        </is>
      </c>
      <c r="E26" s="5" t="inlineStr">
        <is>
          <t>STORE10</t>
        </is>
      </c>
      <c r="F26" s="5" t="n">
        <v>3</v>
      </c>
      <c r="G26" s="16" t="n">
        <v>979.42</v>
      </c>
      <c r="H26" s="17" t="n">
        <v>0.03</v>
      </c>
      <c r="I26" s="5" t="inlineStr">
        <is>
          <t>PayPal</t>
        </is>
      </c>
      <c r="J26" s="16" t="n">
        <v>2850.1122</v>
      </c>
      <c r="K26" s="18" t="inlineStr">
        <is>
          <t>Unknown</t>
        </is>
      </c>
      <c r="L26" s="18" t="inlineStr">
        <is>
          <t>Unknown</t>
        </is>
      </c>
      <c r="M26" s="18" t="inlineStr">
        <is>
          <t>Unknown</t>
        </is>
      </c>
      <c r="N26" s="18" t="inlineStr">
        <is>
          <t>Online</t>
        </is>
      </c>
    </row>
    <row r="27">
      <c r="A27" s="4" t="inlineStr">
        <is>
          <t>SALE23</t>
        </is>
      </c>
      <c r="B27" s="4" t="inlineStr">
        <is>
          <t>2024-06-23</t>
        </is>
      </c>
      <c r="C27" s="4" t="inlineStr">
        <is>
          <t>CUST1368</t>
        </is>
      </c>
      <c r="D27" s="4" t="inlineStr">
        <is>
          <t>PROD12</t>
        </is>
      </c>
      <c r="E27" s="4" t="inlineStr">
        <is>
          <t>STORE8</t>
        </is>
      </c>
      <c r="F27" s="4" t="n">
        <v>1</v>
      </c>
      <c r="G27" s="19" t="n">
        <v>719.28</v>
      </c>
      <c r="H27" s="20" t="n">
        <v>0.08</v>
      </c>
      <c r="I27" s="4" t="inlineStr">
        <is>
          <t>Credit Card</t>
        </is>
      </c>
      <c r="J27" s="19" t="n">
        <v>661.7376</v>
      </c>
      <c r="K27" s="18" t="inlineStr">
        <is>
          <t>Unknown</t>
        </is>
      </c>
      <c r="L27" s="18" t="inlineStr">
        <is>
          <t>Hair Strengthening Shampoo</t>
        </is>
      </c>
      <c r="M27" s="18" t="inlineStr">
        <is>
          <t>Beauty</t>
        </is>
      </c>
      <c r="N27" s="18" t="inlineStr">
        <is>
          <t>Online</t>
        </is>
      </c>
    </row>
    <row r="28">
      <c r="A28" s="5" t="inlineStr">
        <is>
          <t>SALE24</t>
        </is>
      </c>
      <c r="B28" s="5" t="inlineStr">
        <is>
          <t>2025-09-08</t>
        </is>
      </c>
      <c r="C28" s="5" t="inlineStr">
        <is>
          <t>CUST1186</t>
        </is>
      </c>
      <c r="D28" s="5" t="inlineStr">
        <is>
          <t>PROD67</t>
        </is>
      </c>
      <c r="E28" s="5" t="inlineStr">
        <is>
          <t>STORE6</t>
        </is>
      </c>
      <c r="F28" s="5" t="n">
        <v>3</v>
      </c>
      <c r="G28" s="16" t="n">
        <v>77.59999999999999</v>
      </c>
      <c r="H28" s="17" t="n">
        <v>0.07000000000000001</v>
      </c>
      <c r="I28" s="5" t="inlineStr">
        <is>
          <t>Credit Card</t>
        </is>
      </c>
      <c r="J28" s="16" t="n">
        <v>216.504</v>
      </c>
      <c r="K28" s="18" t="inlineStr">
        <is>
          <t>Unknown</t>
        </is>
      </c>
      <c r="L28" s="18" t="inlineStr">
        <is>
          <t>Unknown</t>
        </is>
      </c>
      <c r="M28" s="18" t="inlineStr">
        <is>
          <t>Unknown</t>
        </is>
      </c>
      <c r="N28" s="18" t="inlineStr">
        <is>
          <t>Online</t>
        </is>
      </c>
    </row>
    <row r="29">
      <c r="A29" s="4" t="inlineStr">
        <is>
          <t>SALE25</t>
        </is>
      </c>
      <c r="B29" s="4" t="inlineStr">
        <is>
          <t>2024-09-17</t>
        </is>
      </c>
      <c r="C29" s="4" t="inlineStr">
        <is>
          <t>CUST1381</t>
        </is>
      </c>
      <c r="D29" s="4" t="inlineStr">
        <is>
          <t>PROD5</t>
        </is>
      </c>
      <c r="E29" s="4" t="inlineStr">
        <is>
          <t>STORE3</t>
        </is>
      </c>
      <c r="F29" s="4" t="n">
        <v>4</v>
      </c>
      <c r="G29" s="19" t="n">
        <v>852.71</v>
      </c>
      <c r="H29" s="20" t="n">
        <v>0.14</v>
      </c>
      <c r="I29" s="4" t="inlineStr">
        <is>
          <t>PayPal</t>
        </is>
      </c>
      <c r="J29" s="19" t="n">
        <v>2933.3224</v>
      </c>
      <c r="K29" s="18" t="inlineStr">
        <is>
          <t>Unknown</t>
        </is>
      </c>
      <c r="L29" s="18" t="inlineStr">
        <is>
          <t>Men's Leather Belt</t>
        </is>
      </c>
      <c r="M29" s="18" t="inlineStr">
        <is>
          <t>Clothing</t>
        </is>
      </c>
      <c r="N29" s="18" t="inlineStr">
        <is>
          <t>Outlet</t>
        </is>
      </c>
    </row>
    <row r="30">
      <c r="A30" s="5" t="inlineStr">
        <is>
          <t>SALE26</t>
        </is>
      </c>
      <c r="B30" s="5" t="inlineStr">
        <is>
          <t>2024-01-03</t>
        </is>
      </c>
      <c r="C30" s="5" t="inlineStr">
        <is>
          <t>CUST1213</t>
        </is>
      </c>
      <c r="D30" s="5" t="inlineStr">
        <is>
          <t>PROD98</t>
        </is>
      </c>
      <c r="E30" s="5" t="inlineStr">
        <is>
          <t>STORE8</t>
        </is>
      </c>
      <c r="F30" s="5" t="n">
        <v>4</v>
      </c>
      <c r="G30" s="16" t="n">
        <v>156.16</v>
      </c>
      <c r="H30" s="17" t="n">
        <v>0</v>
      </c>
      <c r="I30" s="5" t="inlineStr">
        <is>
          <t>Credit Card</t>
        </is>
      </c>
      <c r="J30" s="16" t="n">
        <v>599.6544</v>
      </c>
      <c r="K30" s="18" t="inlineStr">
        <is>
          <t>Unknown</t>
        </is>
      </c>
      <c r="L30" s="18" t="inlineStr">
        <is>
          <t>Unknown</t>
        </is>
      </c>
      <c r="M30" s="18" t="inlineStr">
        <is>
          <t>Unknown</t>
        </is>
      </c>
      <c r="N30" s="18" t="inlineStr">
        <is>
          <t>Online</t>
        </is>
      </c>
    </row>
    <row r="31">
      <c r="A31" s="4" t="inlineStr">
        <is>
          <t>SALE27</t>
        </is>
      </c>
      <c r="B31" s="4" t="inlineStr">
        <is>
          <t>2025-02-22</t>
        </is>
      </c>
      <c r="C31" s="4" t="inlineStr">
        <is>
          <t>CUST1200</t>
        </is>
      </c>
      <c r="D31" s="4" t="inlineStr">
        <is>
          <t>PROD77</t>
        </is>
      </c>
      <c r="E31" s="4" t="inlineStr">
        <is>
          <t>STORE8</t>
        </is>
      </c>
      <c r="F31" s="4" t="n">
        <v>3</v>
      </c>
      <c r="G31" s="19" t="n">
        <v>815.49</v>
      </c>
      <c r="H31" s="20" t="n">
        <v>0.17</v>
      </c>
      <c r="I31" s="4" t="inlineStr">
        <is>
          <t>Credit Card</t>
        </is>
      </c>
      <c r="J31" s="19" t="n">
        <v>2030.5701</v>
      </c>
      <c r="K31" s="18" t="inlineStr">
        <is>
          <t>Unknown</t>
        </is>
      </c>
      <c r="L31" s="18" t="inlineStr">
        <is>
          <t>Unknown</t>
        </is>
      </c>
      <c r="M31" s="18" t="inlineStr">
        <is>
          <t>Unknown</t>
        </is>
      </c>
      <c r="N31" s="18" t="inlineStr">
        <is>
          <t>Online</t>
        </is>
      </c>
    </row>
    <row r="32">
      <c r="A32" s="5" t="inlineStr">
        <is>
          <t>SALE28</t>
        </is>
      </c>
      <c r="B32" s="5" t="inlineStr">
        <is>
          <t>2025-09-23</t>
        </is>
      </c>
      <c r="C32" s="5" t="inlineStr">
        <is>
          <t>CUST1148</t>
        </is>
      </c>
      <c r="D32" s="5" t="inlineStr">
        <is>
          <t>PROD13</t>
        </is>
      </c>
      <c r="E32" s="5" t="inlineStr">
        <is>
          <t>STORE2</t>
        </is>
      </c>
      <c r="F32" s="5" t="n">
        <v>2</v>
      </c>
      <c r="G32" s="16" t="n">
        <v>74.20999999999999</v>
      </c>
      <c r="H32" s="17" t="n">
        <v>0.11</v>
      </c>
      <c r="I32" s="5" t="inlineStr">
        <is>
          <t>PayPal</t>
        </is>
      </c>
      <c r="J32" s="16" t="n">
        <v>132.0938</v>
      </c>
      <c r="K32" s="18" t="inlineStr">
        <is>
          <t>Unknown</t>
        </is>
      </c>
      <c r="L32" s="18" t="inlineStr">
        <is>
          <t>USB-C Fast Charger</t>
        </is>
      </c>
      <c r="M32" s="18" t="inlineStr">
        <is>
          <t>Electronics</t>
        </is>
      </c>
      <c r="N32" s="18" t="inlineStr">
        <is>
          <t>Outlet</t>
        </is>
      </c>
    </row>
    <row r="33">
      <c r="A33" s="4" t="inlineStr">
        <is>
          <t>SALE29</t>
        </is>
      </c>
      <c r="B33" s="4" t="inlineStr">
        <is>
          <t>2024-01-11</t>
        </is>
      </c>
      <c r="C33" s="4" t="inlineStr">
        <is>
          <t>CUST1348</t>
        </is>
      </c>
      <c r="D33" s="4" t="inlineStr">
        <is>
          <t>PROD99</t>
        </is>
      </c>
      <c r="E33" s="4" t="inlineStr">
        <is>
          <t>STORE3</t>
        </is>
      </c>
      <c r="F33" s="21" t="n">
        <v>1</v>
      </c>
      <c r="G33" s="19" t="n">
        <v>451.67</v>
      </c>
      <c r="H33" s="20" t="n">
        <v>0.15</v>
      </c>
      <c r="I33" s="4" t="inlineStr">
        <is>
          <t>Credit Card</t>
        </is>
      </c>
      <c r="J33" s="19" t="n">
        <v>1535.678</v>
      </c>
      <c r="K33" s="18" t="inlineStr">
        <is>
          <t>Unknown</t>
        </is>
      </c>
      <c r="L33" s="18" t="inlineStr">
        <is>
          <t>Unknown</t>
        </is>
      </c>
      <c r="M33" s="18" t="inlineStr">
        <is>
          <t>Unknown</t>
        </is>
      </c>
      <c r="N33" s="18" t="inlineStr">
        <is>
          <t>Outlet</t>
        </is>
      </c>
    </row>
    <row r="34">
      <c r="A34" s="5" t="inlineStr">
        <is>
          <t>SALE30</t>
        </is>
      </c>
      <c r="B34" s="5" t="inlineStr">
        <is>
          <t>2023-10-18</t>
        </is>
      </c>
      <c r="C34" s="5" t="inlineStr">
        <is>
          <t>CUST1028</t>
        </is>
      </c>
      <c r="D34" s="5" t="inlineStr">
        <is>
          <t>PROD5</t>
        </is>
      </c>
      <c r="E34" s="5" t="inlineStr">
        <is>
          <t>STORE19</t>
        </is>
      </c>
      <c r="F34" s="5" t="n">
        <v>1</v>
      </c>
      <c r="G34" s="16" t="n">
        <v>429.38</v>
      </c>
      <c r="H34" s="17" t="n">
        <v>0.13</v>
      </c>
      <c r="I34" s="5" t="inlineStr">
        <is>
          <t>PayPal</t>
        </is>
      </c>
      <c r="J34" s="16" t="n">
        <v>373.5606</v>
      </c>
      <c r="K34" s="18" t="inlineStr">
        <is>
          <t>Joshua Ryan</t>
        </is>
      </c>
      <c r="L34" s="18" t="inlineStr">
        <is>
          <t>Men's Leather Belt</t>
        </is>
      </c>
      <c r="M34" s="18" t="inlineStr">
        <is>
          <t>Clothing</t>
        </is>
      </c>
      <c r="N34" s="18" t="inlineStr">
        <is>
          <t>Online</t>
        </is>
      </c>
    </row>
    <row r="35">
      <c r="A35" s="4" t="inlineStr">
        <is>
          <t>SALE31</t>
        </is>
      </c>
      <c r="B35" s="4" t="inlineStr">
        <is>
          <t>2024-10-28</t>
        </is>
      </c>
      <c r="C35" s="4" t="inlineStr">
        <is>
          <t>CUST1412</t>
        </is>
      </c>
      <c r="D35" s="4" t="inlineStr">
        <is>
          <t>PROD53</t>
        </is>
      </c>
      <c r="E35" s="4" t="inlineStr">
        <is>
          <t>STORE12</t>
        </is>
      </c>
      <c r="F35" s="4" t="n">
        <v>2</v>
      </c>
      <c r="G35" s="19" t="n">
        <v>148.96</v>
      </c>
      <c r="H35" s="20" t="n">
        <v>0.03</v>
      </c>
      <c r="I35" s="4" t="inlineStr">
        <is>
          <t>COD</t>
        </is>
      </c>
      <c r="J35" s="19" t="n">
        <v>288.9824</v>
      </c>
      <c r="K35" s="18" t="inlineStr">
        <is>
          <t>Unknown</t>
        </is>
      </c>
      <c r="L35" s="18" t="inlineStr">
        <is>
          <t>Unknown</t>
        </is>
      </c>
      <c r="M35" s="18" t="inlineStr">
        <is>
          <t>Unknown</t>
        </is>
      </c>
      <c r="N35" s="18" t="inlineStr">
        <is>
          <t>Online</t>
        </is>
      </c>
    </row>
    <row r="36">
      <c r="A36" s="5" t="inlineStr">
        <is>
          <t>SALE32</t>
        </is>
      </c>
      <c r="B36" s="5" t="inlineStr">
        <is>
          <t>2024-11-01</t>
        </is>
      </c>
      <c r="C36" s="5" t="inlineStr">
        <is>
          <t>CUST1398</t>
        </is>
      </c>
      <c r="D36" s="5" t="inlineStr">
        <is>
          <t>PROD75</t>
        </is>
      </c>
      <c r="E36" s="5" t="inlineStr">
        <is>
          <t>STORE8</t>
        </is>
      </c>
      <c r="F36" s="5" t="n">
        <v>4</v>
      </c>
      <c r="G36" s="16" t="n">
        <v>313.83</v>
      </c>
      <c r="H36" s="17" t="n">
        <v>0.08</v>
      </c>
      <c r="I36" s="5" t="inlineStr">
        <is>
          <t>Credit Card</t>
        </is>
      </c>
      <c r="J36" s="16" t="n">
        <v>1154.8944</v>
      </c>
      <c r="K36" s="18" t="inlineStr">
        <is>
          <t>Unknown</t>
        </is>
      </c>
      <c r="L36" s="18" t="inlineStr">
        <is>
          <t>Unknown</t>
        </is>
      </c>
      <c r="M36" s="18" t="inlineStr">
        <is>
          <t>Unknown</t>
        </is>
      </c>
      <c r="N36" s="18" t="inlineStr">
        <is>
          <t>Online</t>
        </is>
      </c>
    </row>
    <row r="37">
      <c r="A37" s="4" t="inlineStr">
        <is>
          <t>SALE33</t>
        </is>
      </c>
      <c r="B37" s="4" t="inlineStr">
        <is>
          <t>2024-11-24</t>
        </is>
      </c>
      <c r="C37" s="4" t="inlineStr">
        <is>
          <t>CUST1453</t>
        </is>
      </c>
      <c r="D37" s="4" t="inlineStr">
        <is>
          <t>PROD12</t>
        </is>
      </c>
      <c r="E37" s="4" t="inlineStr">
        <is>
          <t>STORE6</t>
        </is>
      </c>
      <c r="F37" s="4" t="n">
        <v>2</v>
      </c>
      <c r="G37" s="19" t="n">
        <v>717.3099999999999</v>
      </c>
      <c r="H37" s="20" t="n">
        <v>0.15</v>
      </c>
      <c r="I37" s="4" t="inlineStr">
        <is>
          <t>Credit Card</t>
        </is>
      </c>
      <c r="J37" s="19" t="n">
        <v>1219.427</v>
      </c>
      <c r="K37" s="18" t="inlineStr">
        <is>
          <t>Unknown</t>
        </is>
      </c>
      <c r="L37" s="18" t="inlineStr">
        <is>
          <t>Hair Strengthening Shampoo</t>
        </is>
      </c>
      <c r="M37" s="18" t="inlineStr">
        <is>
          <t>Beauty</t>
        </is>
      </c>
      <c r="N37" s="18" t="inlineStr">
        <is>
          <t>Online</t>
        </is>
      </c>
    </row>
    <row r="38">
      <c r="A38" s="5" t="inlineStr">
        <is>
          <t>SALE34</t>
        </is>
      </c>
      <c r="B38" s="5" t="inlineStr">
        <is>
          <t>2023-10-16</t>
        </is>
      </c>
      <c r="C38" s="5" t="inlineStr">
        <is>
          <t>CUST1344</t>
        </is>
      </c>
      <c r="D38" s="5" t="inlineStr">
        <is>
          <t>PROD79</t>
        </is>
      </c>
      <c r="E38" s="5" t="inlineStr">
        <is>
          <t>STORE1</t>
        </is>
      </c>
      <c r="F38" s="21" t="n">
        <v>1</v>
      </c>
      <c r="G38" s="16" t="n">
        <v>873.22</v>
      </c>
      <c r="H38" s="17" t="n">
        <v>0.18</v>
      </c>
      <c r="I38" s="5" t="inlineStr">
        <is>
          <t>Credit Card</t>
        </is>
      </c>
      <c r="J38" s="16" t="n">
        <v>2148.1212</v>
      </c>
      <c r="K38" s="18" t="inlineStr">
        <is>
          <t>Unknown</t>
        </is>
      </c>
      <c r="L38" s="18" t="inlineStr">
        <is>
          <t>Unknown</t>
        </is>
      </c>
      <c r="M38" s="18" t="inlineStr">
        <is>
          <t>Unknown</t>
        </is>
      </c>
      <c r="N38" s="18" t="inlineStr">
        <is>
          <t>Flagship</t>
        </is>
      </c>
    </row>
    <row r="39">
      <c r="A39" s="4" t="inlineStr">
        <is>
          <t>SALE35</t>
        </is>
      </c>
      <c r="B39" s="4" t="inlineStr">
        <is>
          <t>2025-08-09</t>
        </is>
      </c>
      <c r="C39" s="4" t="inlineStr">
        <is>
          <t>CUST1218</t>
        </is>
      </c>
      <c r="D39" s="4" t="inlineStr">
        <is>
          <t>PROD16</t>
        </is>
      </c>
      <c r="E39" s="4" t="inlineStr">
        <is>
          <t>STORE3</t>
        </is>
      </c>
      <c r="F39" s="4" t="n">
        <v>4</v>
      </c>
      <c r="G39" s="19" t="n">
        <v>109.36</v>
      </c>
      <c r="H39" s="20" t="n">
        <v>0.19</v>
      </c>
      <c r="I39" s="4" t="inlineStr">
        <is>
          <t>COD</t>
        </is>
      </c>
      <c r="J39" s="19" t="n">
        <v>354.3264</v>
      </c>
      <c r="K39" s="18" t="inlineStr">
        <is>
          <t>Unknown</t>
        </is>
      </c>
      <c r="L39" s="18" t="inlineStr">
        <is>
          <t>Beard Grooming Kit</t>
        </is>
      </c>
      <c r="M39" s="18" t="inlineStr">
        <is>
          <t>Beauty</t>
        </is>
      </c>
      <c r="N39" s="18" t="inlineStr">
        <is>
          <t>Outlet</t>
        </is>
      </c>
    </row>
    <row r="40">
      <c r="A40" s="5" t="inlineStr">
        <is>
          <t>SALE36</t>
        </is>
      </c>
      <c r="B40" s="5" t="inlineStr">
        <is>
          <t>2024-12-09</t>
        </is>
      </c>
      <c r="C40" s="5" t="inlineStr">
        <is>
          <t>CUST1086</t>
        </is>
      </c>
      <c r="D40" s="5" t="inlineStr">
        <is>
          <t>PROD5</t>
        </is>
      </c>
      <c r="E40" s="5" t="inlineStr">
        <is>
          <t>STORE7</t>
        </is>
      </c>
      <c r="F40" s="5" t="n">
        <v>3</v>
      </c>
      <c r="G40" s="16" t="n">
        <v>559.52</v>
      </c>
      <c r="H40" s="17" t="n">
        <v>0.16</v>
      </c>
      <c r="I40" s="5" t="inlineStr">
        <is>
          <t>PayPal</t>
        </is>
      </c>
      <c r="J40" s="16" t="n">
        <v>1409.9904</v>
      </c>
      <c r="K40" s="18" t="inlineStr">
        <is>
          <t>Unknown</t>
        </is>
      </c>
      <c r="L40" s="18" t="inlineStr">
        <is>
          <t>Men's Leather Belt</t>
        </is>
      </c>
      <c r="M40" s="18" t="inlineStr">
        <is>
          <t>Clothing</t>
        </is>
      </c>
      <c r="N40" s="18" t="inlineStr">
        <is>
          <t>Online</t>
        </is>
      </c>
    </row>
    <row r="41">
      <c r="A41" s="4" t="inlineStr">
        <is>
          <t>SALE37</t>
        </is>
      </c>
      <c r="B41" s="4" t="inlineStr">
        <is>
          <t>2024-02-07</t>
        </is>
      </c>
      <c r="C41" s="4" t="inlineStr">
        <is>
          <t>CUST1492</t>
        </is>
      </c>
      <c r="D41" s="4" t="inlineStr">
        <is>
          <t>PROD10</t>
        </is>
      </c>
      <c r="E41" s="4" t="inlineStr">
        <is>
          <t>STORE17</t>
        </is>
      </c>
      <c r="F41" s="4" t="n">
        <v>3</v>
      </c>
      <c r="G41" s="19" t="n">
        <v>121.76</v>
      </c>
      <c r="H41" s="20" t="n">
        <v>0.27</v>
      </c>
      <c r="I41" s="4" t="inlineStr">
        <is>
          <t>PayPal</t>
        </is>
      </c>
      <c r="J41" s="19" t="n">
        <v>266.6544</v>
      </c>
      <c r="K41" s="18" t="inlineStr">
        <is>
          <t>Unknown</t>
        </is>
      </c>
      <c r="L41" s="18" t="inlineStr">
        <is>
          <t>Ceramic Kitchen Bowl Set</t>
        </is>
      </c>
      <c r="M41" s="18" t="inlineStr">
        <is>
          <t>Home</t>
        </is>
      </c>
      <c r="N41" s="18" t="inlineStr">
        <is>
          <t>Flagship</t>
        </is>
      </c>
    </row>
    <row r="42">
      <c r="A42" s="5" t="inlineStr">
        <is>
          <t>SALE38</t>
        </is>
      </c>
      <c r="B42" s="5" t="inlineStr">
        <is>
          <t>2024-03-27</t>
        </is>
      </c>
      <c r="C42" s="5" t="inlineStr">
        <is>
          <t>CUST1189</t>
        </is>
      </c>
      <c r="D42" s="5" t="inlineStr">
        <is>
          <t>PROD33</t>
        </is>
      </c>
      <c r="E42" s="5" t="inlineStr">
        <is>
          <t>STORE13</t>
        </is>
      </c>
      <c r="F42" s="5" t="n">
        <v>4</v>
      </c>
      <c r="G42" s="16" t="n">
        <v>735.3200000000001</v>
      </c>
      <c r="H42" s="17" t="n">
        <v>0.06</v>
      </c>
      <c r="I42" s="5" t="inlineStr">
        <is>
          <t>COD</t>
        </is>
      </c>
      <c r="J42" s="16" t="n">
        <v>2764.8032</v>
      </c>
      <c r="K42" s="18" t="inlineStr">
        <is>
          <t>Unknown</t>
        </is>
      </c>
      <c r="L42" s="18" t="inlineStr">
        <is>
          <t>Modern Wall Clock</t>
        </is>
      </c>
      <c r="M42" s="18" t="inlineStr">
        <is>
          <t>Home</t>
        </is>
      </c>
      <c r="N42" s="18" t="inlineStr">
        <is>
          <t>Flagship</t>
        </is>
      </c>
    </row>
    <row r="43">
      <c r="A43" s="4" t="inlineStr">
        <is>
          <t>SALE39</t>
        </is>
      </c>
      <c r="B43" s="4" t="inlineStr">
        <is>
          <t>2023-12-04</t>
        </is>
      </c>
      <c r="C43" s="4" t="inlineStr">
        <is>
          <t>CUST1431</t>
        </is>
      </c>
      <c r="D43" s="4" t="inlineStr">
        <is>
          <t>PROD94</t>
        </is>
      </c>
      <c r="E43" s="4" t="inlineStr">
        <is>
          <t>STORE3</t>
        </is>
      </c>
      <c r="F43" s="4" t="n">
        <v>2</v>
      </c>
      <c r="G43" s="19" t="n">
        <v>600.73</v>
      </c>
      <c r="H43" s="20" t="n">
        <v>0.08</v>
      </c>
      <c r="I43" s="4" t="inlineStr">
        <is>
          <t>Credit Card</t>
        </is>
      </c>
      <c r="J43" s="19" t="n">
        <v>1105.3432</v>
      </c>
      <c r="K43" s="18" t="inlineStr">
        <is>
          <t>Unknown</t>
        </is>
      </c>
      <c r="L43" s="18" t="inlineStr">
        <is>
          <t>Unknown</t>
        </is>
      </c>
      <c r="M43" s="18" t="inlineStr">
        <is>
          <t>Unknown</t>
        </is>
      </c>
      <c r="N43" s="18" t="inlineStr">
        <is>
          <t>Outlet</t>
        </is>
      </c>
    </row>
    <row r="44">
      <c r="A44" s="5" t="inlineStr">
        <is>
          <t>SALE40</t>
        </is>
      </c>
      <c r="B44" s="5" t="inlineStr">
        <is>
          <t>2024-07-13</t>
        </is>
      </c>
      <c r="C44" s="5" t="inlineStr">
        <is>
          <t>CUST1072</t>
        </is>
      </c>
      <c r="D44" s="5" t="inlineStr">
        <is>
          <t>PROD26</t>
        </is>
      </c>
      <c r="E44" s="5" t="inlineStr">
        <is>
          <t>STORE19</t>
        </is>
      </c>
      <c r="F44" s="5" t="n">
        <v>2</v>
      </c>
      <c r="G44" s="16" t="n">
        <v>873.86</v>
      </c>
      <c r="H44" s="17" t="n">
        <v>0.07000000000000001</v>
      </c>
      <c r="I44" s="5" t="inlineStr">
        <is>
          <t>COD</t>
        </is>
      </c>
      <c r="J44" s="16" t="n">
        <v>1625.3796</v>
      </c>
      <c r="K44" s="18" t="inlineStr">
        <is>
          <t>Unknown</t>
        </is>
      </c>
      <c r="L44" s="18" t="inlineStr">
        <is>
          <t>Wireless Bluetooth Speaker</t>
        </is>
      </c>
      <c r="M44" s="18" t="inlineStr">
        <is>
          <t>Electronics</t>
        </is>
      </c>
      <c r="N44" s="18" t="inlineStr">
        <is>
          <t>Online</t>
        </is>
      </c>
    </row>
    <row r="45">
      <c r="A45" s="4" t="inlineStr">
        <is>
          <t>SALE41</t>
        </is>
      </c>
      <c r="B45" s="4" t="inlineStr">
        <is>
          <t>2023-11-11</t>
        </is>
      </c>
      <c r="C45" s="4" t="inlineStr">
        <is>
          <t>CUST1302</t>
        </is>
      </c>
      <c r="D45" s="4" t="inlineStr">
        <is>
          <t>PROD23</t>
        </is>
      </c>
      <c r="E45" s="4" t="inlineStr">
        <is>
          <t>STORE8</t>
        </is>
      </c>
      <c r="F45" s="4" t="n">
        <v>3</v>
      </c>
      <c r="G45" s="19" t="n">
        <v>342.47</v>
      </c>
      <c r="H45" s="20" t="n">
        <v>0.08</v>
      </c>
      <c r="I45" s="4" t="inlineStr">
        <is>
          <t>PayPal</t>
        </is>
      </c>
      <c r="J45" s="19" t="n">
        <v>945.2172</v>
      </c>
      <c r="K45" s="18" t="inlineStr">
        <is>
          <t>Unknown</t>
        </is>
      </c>
      <c r="L45" s="18" t="inlineStr">
        <is>
          <t>Men's Formal Shirt</t>
        </is>
      </c>
      <c r="M45" s="18" t="inlineStr">
        <is>
          <t>Clothing</t>
        </is>
      </c>
      <c r="N45" s="18" t="inlineStr">
        <is>
          <t>Online</t>
        </is>
      </c>
    </row>
    <row r="46">
      <c r="A46" s="5" t="inlineStr">
        <is>
          <t>SALE42</t>
        </is>
      </c>
      <c r="B46" s="5" t="inlineStr">
        <is>
          <t>2024-12-23</t>
        </is>
      </c>
      <c r="C46" s="5" t="inlineStr">
        <is>
          <t>CUST1335</t>
        </is>
      </c>
      <c r="D46" s="5" t="inlineStr">
        <is>
          <t>PROD29</t>
        </is>
      </c>
      <c r="E46" s="5" t="inlineStr">
        <is>
          <t>STORE9</t>
        </is>
      </c>
      <c r="F46" s="5" t="n">
        <v>2</v>
      </c>
      <c r="G46" s="16" t="n">
        <v>915.15</v>
      </c>
      <c r="H46" s="17" t="n">
        <v>0.16</v>
      </c>
      <c r="I46" s="5" t="inlineStr">
        <is>
          <t>PayPal</t>
        </is>
      </c>
      <c r="J46" s="16" t="n">
        <v>1537.452</v>
      </c>
      <c r="K46" s="18" t="inlineStr">
        <is>
          <t>Unknown</t>
        </is>
      </c>
      <c r="L46" s="18" t="inlineStr">
        <is>
          <t>Fabric Sofa Throw Blanket</t>
        </is>
      </c>
      <c r="M46" s="18" t="inlineStr">
        <is>
          <t>Home</t>
        </is>
      </c>
      <c r="N46" s="18" t="inlineStr">
        <is>
          <t>Flagship</t>
        </is>
      </c>
    </row>
    <row r="47">
      <c r="A47" s="4" t="inlineStr">
        <is>
          <t>SALE43</t>
        </is>
      </c>
      <c r="B47" s="4" t="inlineStr">
        <is>
          <t>2025-01-20</t>
        </is>
      </c>
      <c r="C47" s="4" t="inlineStr">
        <is>
          <t>CUST1084</t>
        </is>
      </c>
      <c r="D47" s="4" t="inlineStr">
        <is>
          <t>PROD33</t>
        </is>
      </c>
      <c r="E47" s="4" t="inlineStr">
        <is>
          <t>STORE17</t>
        </is>
      </c>
      <c r="F47" s="21" t="n">
        <v>1</v>
      </c>
      <c r="G47" s="19" t="n">
        <v>863.11</v>
      </c>
      <c r="H47" s="20" t="n">
        <v>0.28</v>
      </c>
      <c r="I47" s="4" t="inlineStr">
        <is>
          <t>PayPal</t>
        </is>
      </c>
      <c r="J47" s="19" t="n">
        <v>1864.3176</v>
      </c>
      <c r="K47" s="18" t="inlineStr">
        <is>
          <t>Unknown</t>
        </is>
      </c>
      <c r="L47" s="18" t="inlineStr">
        <is>
          <t>Modern Wall Clock</t>
        </is>
      </c>
      <c r="M47" s="18" t="inlineStr">
        <is>
          <t>Home</t>
        </is>
      </c>
      <c r="N47" s="18" t="inlineStr">
        <is>
          <t>Flagship</t>
        </is>
      </c>
    </row>
    <row r="48">
      <c r="A48" s="5" t="inlineStr">
        <is>
          <t>SALE44</t>
        </is>
      </c>
      <c r="B48" s="5" t="inlineStr">
        <is>
          <t>2024-09-03</t>
        </is>
      </c>
      <c r="C48" s="5" t="inlineStr">
        <is>
          <t>CUST1203</t>
        </is>
      </c>
      <c r="D48" s="5" t="inlineStr">
        <is>
          <t>PROD43</t>
        </is>
      </c>
      <c r="E48" s="5" t="inlineStr">
        <is>
          <t>STORE12</t>
        </is>
      </c>
      <c r="F48" s="5" t="n">
        <v>2</v>
      </c>
      <c r="G48" s="16" t="n">
        <v>209.32</v>
      </c>
      <c r="H48" s="17" t="n">
        <v>0.23</v>
      </c>
      <c r="I48" s="5" t="inlineStr">
        <is>
          <t>COD</t>
        </is>
      </c>
      <c r="J48" s="16" t="n">
        <v>322.3528</v>
      </c>
      <c r="K48" s="18" t="inlineStr">
        <is>
          <t>Unknown</t>
        </is>
      </c>
      <c r="L48" s="18" t="inlineStr">
        <is>
          <t>USB External Hard Drive</t>
        </is>
      </c>
      <c r="M48" s="18" t="inlineStr">
        <is>
          <t>Electronics</t>
        </is>
      </c>
      <c r="N48" s="18" t="inlineStr">
        <is>
          <t>Online</t>
        </is>
      </c>
    </row>
    <row r="49">
      <c r="A49" s="4" t="inlineStr">
        <is>
          <t>SALE45</t>
        </is>
      </c>
      <c r="B49" s="4" t="inlineStr">
        <is>
          <t>2024-11-10</t>
        </is>
      </c>
      <c r="C49" s="4" t="inlineStr">
        <is>
          <t>CUST1470</t>
        </is>
      </c>
      <c r="D49" s="4" t="inlineStr">
        <is>
          <t>PROD59</t>
        </is>
      </c>
      <c r="E49" s="4" t="inlineStr">
        <is>
          <t>STORE8</t>
        </is>
      </c>
      <c r="F49" s="4" t="n">
        <v>4</v>
      </c>
      <c r="G49" s="19" t="n">
        <v>288.6</v>
      </c>
      <c r="H49" s="20" t="n">
        <v>0.09</v>
      </c>
      <c r="I49" s="4" t="inlineStr">
        <is>
          <t>PayPal</t>
        </is>
      </c>
      <c r="J49" s="19" t="n">
        <v>1050.504</v>
      </c>
      <c r="K49" s="18" t="inlineStr">
        <is>
          <t>Unknown</t>
        </is>
      </c>
      <c r="L49" s="18" t="inlineStr">
        <is>
          <t>Unknown</t>
        </is>
      </c>
      <c r="M49" s="18" t="inlineStr">
        <is>
          <t>Unknown</t>
        </is>
      </c>
      <c r="N49" s="18" t="inlineStr">
        <is>
          <t>Online</t>
        </is>
      </c>
    </row>
    <row r="50">
      <c r="A50" s="5" t="inlineStr">
        <is>
          <t>SALE46</t>
        </is>
      </c>
      <c r="B50" s="5" t="inlineStr">
        <is>
          <t>2024-10-05</t>
        </is>
      </c>
      <c r="C50" s="5" t="inlineStr">
        <is>
          <t>CUST1070</t>
        </is>
      </c>
      <c r="D50" s="5" t="inlineStr">
        <is>
          <t>PROD78</t>
        </is>
      </c>
      <c r="E50" s="5" t="inlineStr">
        <is>
          <t>STORE16</t>
        </is>
      </c>
      <c r="F50" s="5" t="n">
        <v>1</v>
      </c>
      <c r="G50" s="16" t="n">
        <v>418.69</v>
      </c>
      <c r="H50" s="17" t="n">
        <v>0.06</v>
      </c>
      <c r="I50" s="5" t="inlineStr">
        <is>
          <t>PayPal</t>
        </is>
      </c>
      <c r="J50" s="16" t="n">
        <v>393.5686</v>
      </c>
      <c r="K50" s="18" t="inlineStr">
        <is>
          <t>Unknown</t>
        </is>
      </c>
      <c r="L50" s="18" t="inlineStr">
        <is>
          <t>Unknown</t>
        </is>
      </c>
      <c r="M50" s="18" t="inlineStr">
        <is>
          <t>Unknown</t>
        </is>
      </c>
      <c r="N50" s="18" t="inlineStr">
        <is>
          <t>Flagship</t>
        </is>
      </c>
    </row>
    <row r="51">
      <c r="A51" s="4" t="inlineStr">
        <is>
          <t>SALE47</t>
        </is>
      </c>
      <c r="B51" s="4" t="inlineStr">
        <is>
          <t>2024-06-23</t>
        </is>
      </c>
      <c r="C51" s="4" t="inlineStr">
        <is>
          <t>CUST1008</t>
        </is>
      </c>
      <c r="D51" s="4" t="inlineStr">
        <is>
          <t>PROD30</t>
        </is>
      </c>
      <c r="E51" s="4" t="inlineStr">
        <is>
          <t>STORE11</t>
        </is>
      </c>
      <c r="F51" s="4" t="n">
        <v>1</v>
      </c>
      <c r="G51" s="19" t="n">
        <v>135.78</v>
      </c>
      <c r="H51" s="20" t="n">
        <v>0.14</v>
      </c>
      <c r="I51" s="4" t="inlineStr">
        <is>
          <t>PayPal</t>
        </is>
      </c>
      <c r="J51" s="19" t="n">
        <v>116.7708</v>
      </c>
      <c r="K51" s="18" t="inlineStr">
        <is>
          <t>Melissa Howard</t>
        </is>
      </c>
      <c r="L51" s="18" t="inlineStr">
        <is>
          <t>Stainless Steel Cutlery Set</t>
        </is>
      </c>
      <c r="M51" s="18" t="inlineStr">
        <is>
          <t>Home</t>
        </is>
      </c>
      <c r="N51" s="18" t="inlineStr">
        <is>
          <t>Online</t>
        </is>
      </c>
    </row>
    <row r="52">
      <c r="A52" s="5" t="inlineStr">
        <is>
          <t>SALE48</t>
        </is>
      </c>
      <c r="B52" s="5" t="inlineStr">
        <is>
          <t>2023-10-19</t>
        </is>
      </c>
      <c r="C52" s="5" t="inlineStr">
        <is>
          <t>CUST1203</t>
        </is>
      </c>
      <c r="D52" s="5" t="inlineStr">
        <is>
          <t>PROD44</t>
        </is>
      </c>
      <c r="E52" s="5" t="inlineStr">
        <is>
          <t>STORE17</t>
        </is>
      </c>
      <c r="F52" s="5" t="n">
        <v>1</v>
      </c>
      <c r="G52" s="16" t="n">
        <v>517.13</v>
      </c>
      <c r="H52" s="17" t="n">
        <v>0.28</v>
      </c>
      <c r="I52" s="5" t="inlineStr">
        <is>
          <t>Credit Card</t>
        </is>
      </c>
      <c r="J52" s="16" t="n">
        <v>372.3336</v>
      </c>
      <c r="K52" s="18" t="inlineStr">
        <is>
          <t>Unknown</t>
        </is>
      </c>
      <c r="L52" s="18" t="inlineStr">
        <is>
          <t>Adjustable Jump Rope</t>
        </is>
      </c>
      <c r="M52" s="18" t="inlineStr">
        <is>
          <t>Sports</t>
        </is>
      </c>
      <c r="N52" s="18" t="inlineStr">
        <is>
          <t>Flagship</t>
        </is>
      </c>
    </row>
    <row r="53">
      <c r="A53" s="4" t="inlineStr">
        <is>
          <t>SALE49</t>
        </is>
      </c>
      <c r="B53" s="4" t="inlineStr">
        <is>
          <t>2024-11-11</t>
        </is>
      </c>
      <c r="C53" s="4" t="inlineStr">
        <is>
          <t>CUST1420</t>
        </is>
      </c>
      <c r="D53" s="4" t="inlineStr">
        <is>
          <t>PROD21</t>
        </is>
      </c>
      <c r="E53" s="4" t="inlineStr">
        <is>
          <t>STORE16</t>
        </is>
      </c>
      <c r="F53" s="4" t="n">
        <v>2</v>
      </c>
      <c r="G53" s="19" t="n">
        <v>384.66</v>
      </c>
      <c r="H53" s="20" t="n">
        <v>0.08</v>
      </c>
      <c r="I53" s="4" t="inlineStr">
        <is>
          <t>COD</t>
        </is>
      </c>
      <c r="J53" s="19" t="n">
        <v>707.7744</v>
      </c>
      <c r="K53" s="18" t="inlineStr">
        <is>
          <t>Unknown</t>
        </is>
      </c>
      <c r="L53" s="18" t="inlineStr">
        <is>
          <t>Multi-Purpose Storage Box</t>
        </is>
      </c>
      <c r="M53" s="18" t="inlineStr">
        <is>
          <t>Home</t>
        </is>
      </c>
      <c r="N53" s="18" t="inlineStr">
        <is>
          <t>Flagship</t>
        </is>
      </c>
    </row>
    <row r="54">
      <c r="A54" s="5" t="inlineStr">
        <is>
          <t>SALE50</t>
        </is>
      </c>
      <c r="B54" s="5" t="inlineStr">
        <is>
          <t>2023-12-31</t>
        </is>
      </c>
      <c r="C54" s="5" t="inlineStr">
        <is>
          <t>CUST1070</t>
        </is>
      </c>
      <c r="D54" s="5" t="inlineStr">
        <is>
          <t>PROD52</t>
        </is>
      </c>
      <c r="E54" s="5" t="inlineStr">
        <is>
          <t>STORE9</t>
        </is>
      </c>
      <c r="F54" s="5" t="n">
        <v>3</v>
      </c>
      <c r="G54" s="16" t="n">
        <v>83.7</v>
      </c>
      <c r="H54" s="17" t="n">
        <v>0.24</v>
      </c>
      <c r="I54" s="5" t="inlineStr">
        <is>
          <t>PayPal</t>
        </is>
      </c>
      <c r="J54" s="16" t="n">
        <v>190.836</v>
      </c>
      <c r="K54" s="18" t="inlineStr">
        <is>
          <t>Unknown</t>
        </is>
      </c>
      <c r="L54" s="18" t="inlineStr">
        <is>
          <t>Unknown</t>
        </is>
      </c>
      <c r="M54" s="18" t="inlineStr">
        <is>
          <t>Unknown</t>
        </is>
      </c>
      <c r="N54" s="18" t="inlineStr">
        <is>
          <t>Flagship</t>
        </is>
      </c>
    </row>
    <row r="55">
      <c r="A55" s="4" t="inlineStr">
        <is>
          <t>SALE51</t>
        </is>
      </c>
      <c r="B55" s="4" t="inlineStr">
        <is>
          <t>2025-02-01</t>
        </is>
      </c>
      <c r="C55" s="4" t="inlineStr">
        <is>
          <t>CUST1142</t>
        </is>
      </c>
      <c r="D55" s="4" t="inlineStr">
        <is>
          <t>PROD69</t>
        </is>
      </c>
      <c r="E55" s="4" t="inlineStr">
        <is>
          <t>STORE7</t>
        </is>
      </c>
      <c r="F55" s="4" t="n">
        <v>3</v>
      </c>
      <c r="G55" s="19" t="n">
        <v>76.56999999999999</v>
      </c>
      <c r="H55" s="20" t="n">
        <v>0.26</v>
      </c>
      <c r="I55" s="4" t="inlineStr">
        <is>
          <t>Credit Card</t>
        </is>
      </c>
      <c r="J55" s="19" t="n">
        <v>169.9854</v>
      </c>
      <c r="K55" s="18" t="inlineStr">
        <is>
          <t>Unknown</t>
        </is>
      </c>
      <c r="L55" s="18" t="inlineStr">
        <is>
          <t>Unknown</t>
        </is>
      </c>
      <c r="M55" s="18" t="inlineStr">
        <is>
          <t>Unknown</t>
        </is>
      </c>
      <c r="N55" s="18" t="inlineStr">
        <is>
          <t>Online</t>
        </is>
      </c>
    </row>
    <row r="56">
      <c r="A56" s="5" t="inlineStr">
        <is>
          <t>SALE52</t>
        </is>
      </c>
      <c r="B56" s="5" t="inlineStr">
        <is>
          <t>2025-08-25</t>
        </is>
      </c>
      <c r="C56" s="5" t="inlineStr">
        <is>
          <t>CUST1148</t>
        </is>
      </c>
      <c r="D56" s="5" t="inlineStr">
        <is>
          <t>PROD89</t>
        </is>
      </c>
      <c r="E56" s="5" t="inlineStr">
        <is>
          <t>STORE6</t>
        </is>
      </c>
      <c r="F56" s="5" t="n">
        <v>3</v>
      </c>
      <c r="G56" s="22" t="n">
        <v>0</v>
      </c>
      <c r="H56" s="17" t="n">
        <v>0</v>
      </c>
      <c r="I56" s="5" t="inlineStr">
        <is>
          <t>Credit Card</t>
        </is>
      </c>
      <c r="J56" s="16" t="n">
        <v>486.0633</v>
      </c>
      <c r="K56" s="18" t="inlineStr">
        <is>
          <t>Unknown</t>
        </is>
      </c>
      <c r="L56" s="18" t="inlineStr">
        <is>
          <t>Unknown</t>
        </is>
      </c>
      <c r="M56" s="18" t="inlineStr">
        <is>
          <t>Unknown</t>
        </is>
      </c>
      <c r="N56" s="18" t="inlineStr">
        <is>
          <t>Online</t>
        </is>
      </c>
    </row>
    <row r="57">
      <c r="A57" s="4" t="inlineStr">
        <is>
          <t>SALE53</t>
        </is>
      </c>
      <c r="B57" s="4" t="inlineStr">
        <is>
          <t>2025-01-20</t>
        </is>
      </c>
      <c r="C57" s="4" t="inlineStr">
        <is>
          <t>CUST1324</t>
        </is>
      </c>
      <c r="D57" s="4" t="inlineStr">
        <is>
          <t>PROD20</t>
        </is>
      </c>
      <c r="E57" s="4" t="inlineStr">
        <is>
          <t>STORE8</t>
        </is>
      </c>
      <c r="F57" s="4" t="n">
        <v>1</v>
      </c>
      <c r="G57" s="19" t="n">
        <v>900.35</v>
      </c>
      <c r="H57" s="20" t="n">
        <v>0.13</v>
      </c>
      <c r="I57" s="4" t="inlineStr">
        <is>
          <t>COD</t>
        </is>
      </c>
      <c r="J57" s="19" t="n">
        <v>783.3045</v>
      </c>
      <c r="K57" s="18" t="inlineStr">
        <is>
          <t>Unknown</t>
        </is>
      </c>
      <c r="L57" s="18" t="inlineStr">
        <is>
          <t>Outdoor Sports Water Bottle</t>
        </is>
      </c>
      <c r="M57" s="18" t="inlineStr">
        <is>
          <t>Sports</t>
        </is>
      </c>
      <c r="N57" s="18" t="inlineStr">
        <is>
          <t>Online</t>
        </is>
      </c>
    </row>
    <row r="58">
      <c r="A58" s="5" t="inlineStr">
        <is>
          <t>SALE54</t>
        </is>
      </c>
      <c r="B58" s="5" t="inlineStr">
        <is>
          <t>2025-02-18</t>
        </is>
      </c>
      <c r="C58" s="5" t="inlineStr">
        <is>
          <t>CUST1095</t>
        </is>
      </c>
      <c r="D58" s="5" t="inlineStr">
        <is>
          <t>PROD40</t>
        </is>
      </c>
      <c r="E58" s="5" t="inlineStr">
        <is>
          <t>STORE10</t>
        </is>
      </c>
      <c r="F58" s="5" t="n">
        <v>4</v>
      </c>
      <c r="G58" s="16" t="n">
        <v>428.09</v>
      </c>
      <c r="H58" s="17" t="n">
        <v>0.07000000000000001</v>
      </c>
      <c r="I58" s="5" t="inlineStr">
        <is>
          <t>Credit Card</t>
        </is>
      </c>
      <c r="J58" s="16" t="n">
        <v>1592.4948</v>
      </c>
      <c r="K58" s="18" t="inlineStr">
        <is>
          <t>Unknown</t>
        </is>
      </c>
      <c r="L58" s="18" t="inlineStr">
        <is>
          <t>Noise-Canceling Headphones</t>
        </is>
      </c>
      <c r="M58" s="18" t="inlineStr">
        <is>
          <t>Electronics</t>
        </is>
      </c>
      <c r="N58" s="18" t="inlineStr">
        <is>
          <t>Online</t>
        </is>
      </c>
    </row>
    <row r="59">
      <c r="A59" s="4" t="inlineStr">
        <is>
          <t>SALE55</t>
        </is>
      </c>
      <c r="B59" s="4" t="inlineStr">
        <is>
          <t>2024-10-24</t>
        </is>
      </c>
      <c r="C59" s="4" t="inlineStr">
        <is>
          <t>CUST1416</t>
        </is>
      </c>
      <c r="D59" s="4" t="inlineStr">
        <is>
          <t>PROD49</t>
        </is>
      </c>
      <c r="E59" s="4" t="inlineStr">
        <is>
          <t>STORE11</t>
        </is>
      </c>
      <c r="F59" s="4" t="n">
        <v>2</v>
      </c>
      <c r="G59" s="19" t="n">
        <v>559.71</v>
      </c>
      <c r="H59" s="20" t="n">
        <v>0.3</v>
      </c>
      <c r="I59" s="4" t="inlineStr">
        <is>
          <t>COD</t>
        </is>
      </c>
      <c r="J59" s="19" t="n">
        <v>783.5940000000001</v>
      </c>
      <c r="K59" s="18" t="inlineStr">
        <is>
          <t>Unknown</t>
        </is>
      </c>
      <c r="L59" s="18" t="inlineStr">
        <is>
          <t>Men's Roll-On Perfume</t>
        </is>
      </c>
      <c r="M59" s="18" t="inlineStr">
        <is>
          <t>Beauty</t>
        </is>
      </c>
      <c r="N59" s="18" t="inlineStr">
        <is>
          <t>Online</t>
        </is>
      </c>
    </row>
    <row r="60">
      <c r="A60" s="5" t="inlineStr">
        <is>
          <t>SALE56</t>
        </is>
      </c>
      <c r="B60" s="5" t="inlineStr">
        <is>
          <t>2023-12-22</t>
        </is>
      </c>
      <c r="C60" s="5" t="inlineStr">
        <is>
          <t>CUST1080</t>
        </is>
      </c>
      <c r="D60" s="5" t="inlineStr">
        <is>
          <t>PROD34</t>
        </is>
      </c>
      <c r="E60" s="5" t="inlineStr">
        <is>
          <t>STORE6</t>
        </is>
      </c>
      <c r="F60" s="5" t="n">
        <v>2</v>
      </c>
      <c r="G60" s="16" t="n">
        <v>833.7</v>
      </c>
      <c r="H60" s="17" t="n">
        <v>0.06</v>
      </c>
      <c r="I60" s="5" t="inlineStr">
        <is>
          <t>PayPal</t>
        </is>
      </c>
      <c r="J60" s="16" t="n">
        <v>1567.356</v>
      </c>
      <c r="K60" s="18" t="inlineStr">
        <is>
          <t>Unknown</t>
        </is>
      </c>
      <c r="L60" s="18" t="inlineStr">
        <is>
          <t>Gaming Mechanical Keyboard</t>
        </is>
      </c>
      <c r="M60" s="18" t="inlineStr">
        <is>
          <t>Electronics</t>
        </is>
      </c>
      <c r="N60" s="18" t="inlineStr">
        <is>
          <t>Online</t>
        </is>
      </c>
    </row>
    <row r="61">
      <c r="A61" s="4" t="inlineStr">
        <is>
          <t>SALE57</t>
        </is>
      </c>
      <c r="B61" s="4" t="inlineStr">
        <is>
          <t>2024-06-19</t>
        </is>
      </c>
      <c r="C61" s="4" t="inlineStr">
        <is>
          <t>CUST1467</t>
        </is>
      </c>
      <c r="D61" s="4" t="inlineStr">
        <is>
          <t>PROD47</t>
        </is>
      </c>
      <c r="E61" s="4" t="inlineStr">
        <is>
          <t>STORE14</t>
        </is>
      </c>
      <c r="F61" s="4" t="n">
        <v>2</v>
      </c>
      <c r="G61" s="19" t="n">
        <v>680.16</v>
      </c>
      <c r="H61" s="20" t="n">
        <v>0.28</v>
      </c>
      <c r="I61" s="4" t="inlineStr">
        <is>
          <t>Credit Card</t>
        </is>
      </c>
      <c r="J61" s="19" t="n">
        <v>979.4304</v>
      </c>
      <c r="K61" s="18" t="inlineStr">
        <is>
          <t>Unknown</t>
        </is>
      </c>
      <c r="L61" s="18" t="inlineStr">
        <is>
          <t>Makeup Brush Set</t>
        </is>
      </c>
      <c r="M61" s="18" t="inlineStr">
        <is>
          <t>Beauty</t>
        </is>
      </c>
      <c r="N61" s="18" t="inlineStr">
        <is>
          <t>Outlet</t>
        </is>
      </c>
    </row>
    <row r="62">
      <c r="A62" s="5" t="inlineStr">
        <is>
          <t>SALE58</t>
        </is>
      </c>
      <c r="B62" s="5" t="inlineStr">
        <is>
          <t>2024-12-07</t>
        </is>
      </c>
      <c r="C62" s="5" t="inlineStr">
        <is>
          <t>CUST1404</t>
        </is>
      </c>
      <c r="D62" s="5" t="inlineStr">
        <is>
          <t>PROD15</t>
        </is>
      </c>
      <c r="E62" s="5" t="inlineStr">
        <is>
          <t>STORE7</t>
        </is>
      </c>
      <c r="F62" s="5" t="n">
        <v>4</v>
      </c>
      <c r="G62" s="16" t="n">
        <v>733.42</v>
      </c>
      <c r="H62" s="17" t="n">
        <v>0</v>
      </c>
      <c r="I62" s="5" t="inlineStr">
        <is>
          <t>PayPal</t>
        </is>
      </c>
      <c r="J62" s="16" t="n">
        <v>2552.3016</v>
      </c>
      <c r="K62" s="18" t="inlineStr">
        <is>
          <t>Unknown</t>
        </is>
      </c>
      <c r="L62" s="18" t="inlineStr">
        <is>
          <t>4K Home Projector</t>
        </is>
      </c>
      <c r="M62" s="18" t="inlineStr">
        <is>
          <t>Electronics</t>
        </is>
      </c>
      <c r="N62" s="18" t="inlineStr">
        <is>
          <t>Online</t>
        </is>
      </c>
    </row>
    <row r="63">
      <c r="A63" s="4" t="inlineStr">
        <is>
          <t>SALE59</t>
        </is>
      </c>
      <c r="B63" s="4" t="inlineStr">
        <is>
          <t>2023-11-27</t>
        </is>
      </c>
      <c r="C63" s="4" t="inlineStr">
        <is>
          <t>CUST1367</t>
        </is>
      </c>
      <c r="D63" s="4" t="inlineStr">
        <is>
          <t>PROD89</t>
        </is>
      </c>
      <c r="E63" s="4" t="inlineStr">
        <is>
          <t>STORE11</t>
        </is>
      </c>
      <c r="F63" s="4" t="n">
        <v>1</v>
      </c>
      <c r="G63" s="19" t="n">
        <v>996.33</v>
      </c>
      <c r="H63" s="20" t="n">
        <v>0.23</v>
      </c>
      <c r="I63" s="4" t="inlineStr">
        <is>
          <t>PayPal</t>
        </is>
      </c>
      <c r="J63" s="19" t="n">
        <v>767.1741</v>
      </c>
      <c r="K63" s="18" t="inlineStr">
        <is>
          <t>Unknown</t>
        </is>
      </c>
      <c r="L63" s="18" t="inlineStr">
        <is>
          <t>Unknown</t>
        </is>
      </c>
      <c r="M63" s="18" t="inlineStr">
        <is>
          <t>Unknown</t>
        </is>
      </c>
      <c r="N63" s="18" t="inlineStr">
        <is>
          <t>Online</t>
        </is>
      </c>
    </row>
    <row r="64">
      <c r="A64" s="5" t="inlineStr">
        <is>
          <t>SALE60</t>
        </is>
      </c>
      <c r="B64" s="5" t="inlineStr">
        <is>
          <t>2025-07-16</t>
        </is>
      </c>
      <c r="C64" s="5" t="inlineStr">
        <is>
          <t>CUST1408</t>
        </is>
      </c>
      <c r="D64" s="5" t="inlineStr">
        <is>
          <t>PROD31</t>
        </is>
      </c>
      <c r="E64" s="5" t="inlineStr">
        <is>
          <t>STORE10</t>
        </is>
      </c>
      <c r="F64" s="5" t="n">
        <v>1</v>
      </c>
      <c r="G64" s="16" t="n">
        <v>198.83</v>
      </c>
      <c r="H64" s="17" t="n">
        <v>0.09</v>
      </c>
      <c r="I64" s="5" t="inlineStr">
        <is>
          <t>COD</t>
        </is>
      </c>
      <c r="J64" s="16" t="n">
        <v>180.9353</v>
      </c>
      <c r="K64" s="18" t="inlineStr">
        <is>
          <t>Unknown</t>
        </is>
      </c>
      <c r="L64" s="18" t="inlineStr">
        <is>
          <t>Basketball</t>
        </is>
      </c>
      <c r="M64" s="18" t="inlineStr">
        <is>
          <t>Sports</t>
        </is>
      </c>
      <c r="N64" s="18" t="inlineStr">
        <is>
          <t>Online</t>
        </is>
      </c>
    </row>
    <row r="65">
      <c r="A65" s="4" t="inlineStr">
        <is>
          <t>SALE61</t>
        </is>
      </c>
      <c r="B65" s="4" t="inlineStr">
        <is>
          <t>2025-02-28</t>
        </is>
      </c>
      <c r="C65" s="4" t="inlineStr">
        <is>
          <t>CUST1239</t>
        </is>
      </c>
      <c r="D65" s="4" t="inlineStr">
        <is>
          <t>PROD19</t>
        </is>
      </c>
      <c r="E65" s="4" t="inlineStr">
        <is>
          <t>STORE7</t>
        </is>
      </c>
      <c r="F65" s="4" t="n">
        <v>1</v>
      </c>
      <c r="G65" s="19" t="n">
        <v>374.92</v>
      </c>
      <c r="H65" s="20" t="n">
        <v>0.18</v>
      </c>
      <c r="I65" s="4" t="inlineStr">
        <is>
          <t>PayPal</t>
        </is>
      </c>
      <c r="J65" s="19" t="n">
        <v>307.4344</v>
      </c>
      <c r="K65" s="18" t="inlineStr">
        <is>
          <t>Unknown</t>
        </is>
      </c>
      <c r="L65" s="18" t="inlineStr">
        <is>
          <t>Knee Support Brace</t>
        </is>
      </c>
      <c r="M65" s="18" t="inlineStr">
        <is>
          <t>Sports</t>
        </is>
      </c>
      <c r="N65" s="18" t="inlineStr">
        <is>
          <t>Online</t>
        </is>
      </c>
    </row>
    <row r="66">
      <c r="A66" s="5" t="inlineStr">
        <is>
          <t>SALE62</t>
        </is>
      </c>
      <c r="B66" s="5" t="inlineStr">
        <is>
          <t>2024-08-11</t>
        </is>
      </c>
      <c r="C66" s="5" t="inlineStr">
        <is>
          <t>CUST1464</t>
        </is>
      </c>
      <c r="D66" s="5" t="inlineStr">
        <is>
          <t>PROD93</t>
        </is>
      </c>
      <c r="E66" s="5" t="inlineStr">
        <is>
          <t>STORE16</t>
        </is>
      </c>
      <c r="F66" s="5" t="n">
        <v>1</v>
      </c>
      <c r="G66" s="16" t="n">
        <v>468.94</v>
      </c>
      <c r="H66" s="17" t="n">
        <v>0.12</v>
      </c>
      <c r="I66" s="5" t="inlineStr">
        <is>
          <t>Credit Card</t>
        </is>
      </c>
      <c r="J66" s="16" t="n">
        <v>412.6672</v>
      </c>
      <c r="K66" s="18" t="inlineStr">
        <is>
          <t>Unknown</t>
        </is>
      </c>
      <c r="L66" s="18" t="inlineStr">
        <is>
          <t>Unknown</t>
        </is>
      </c>
      <c r="M66" s="18" t="inlineStr">
        <is>
          <t>Unknown</t>
        </is>
      </c>
      <c r="N66" s="18" t="inlineStr">
        <is>
          <t>Flagship</t>
        </is>
      </c>
    </row>
    <row r="67">
      <c r="A67" s="4" t="inlineStr">
        <is>
          <t>SALE63</t>
        </is>
      </c>
      <c r="B67" s="4" t="inlineStr">
        <is>
          <t>2025-09-27</t>
        </is>
      </c>
      <c r="C67" s="4" t="inlineStr">
        <is>
          <t>CUST1126</t>
        </is>
      </c>
      <c r="D67" s="4" t="inlineStr">
        <is>
          <t>PROD89</t>
        </is>
      </c>
      <c r="E67" s="4" t="inlineStr">
        <is>
          <t>STORE12</t>
        </is>
      </c>
      <c r="F67" s="4" t="n">
        <v>2</v>
      </c>
      <c r="G67" s="19" t="n">
        <v>121.37</v>
      </c>
      <c r="H67" s="20" t="n">
        <v>0.05</v>
      </c>
      <c r="I67" s="4" t="inlineStr">
        <is>
          <t>Credit Card</t>
        </is>
      </c>
      <c r="J67" s="19" t="n">
        <v>230.603</v>
      </c>
      <c r="K67" s="18" t="inlineStr">
        <is>
          <t>Unknown</t>
        </is>
      </c>
      <c r="L67" s="18" t="inlineStr">
        <is>
          <t>Unknown</t>
        </is>
      </c>
      <c r="M67" s="18" t="inlineStr">
        <is>
          <t>Unknown</t>
        </is>
      </c>
      <c r="N67" s="18" t="inlineStr">
        <is>
          <t>Online</t>
        </is>
      </c>
    </row>
    <row r="68">
      <c r="A68" s="5" t="inlineStr">
        <is>
          <t>SALE64</t>
        </is>
      </c>
      <c r="B68" s="5" t="inlineStr">
        <is>
          <t>2025-09-14</t>
        </is>
      </c>
      <c r="C68" s="5" t="inlineStr">
        <is>
          <t>CUST1255</t>
        </is>
      </c>
      <c r="D68" s="5" t="inlineStr">
        <is>
          <t>PROD53</t>
        </is>
      </c>
      <c r="E68" s="5" t="inlineStr">
        <is>
          <t>STORE10</t>
        </is>
      </c>
      <c r="F68" s="5" t="n">
        <v>3</v>
      </c>
      <c r="G68" s="16" t="n">
        <v>480.06</v>
      </c>
      <c r="H68" s="17" t="n">
        <v>0.01</v>
      </c>
      <c r="I68" s="5" t="inlineStr">
        <is>
          <t>Credit Card</t>
        </is>
      </c>
      <c r="J68" s="22" t="n">
        <v>1425.7782</v>
      </c>
      <c r="K68" s="18" t="inlineStr">
        <is>
          <t>Unknown</t>
        </is>
      </c>
      <c r="L68" s="18" t="inlineStr">
        <is>
          <t>Unknown</t>
        </is>
      </c>
      <c r="M68" s="18" t="inlineStr">
        <is>
          <t>Unknown</t>
        </is>
      </c>
      <c r="N68" s="18" t="inlineStr">
        <is>
          <t>Online</t>
        </is>
      </c>
    </row>
    <row r="69">
      <c r="A69" s="4" t="inlineStr">
        <is>
          <t>SALE65</t>
        </is>
      </c>
      <c r="B69" s="4" t="inlineStr">
        <is>
          <t>2023-12-30</t>
        </is>
      </c>
      <c r="C69" s="4" t="inlineStr">
        <is>
          <t>CUST1162</t>
        </is>
      </c>
      <c r="D69" s="4" t="inlineStr">
        <is>
          <t>PROD99</t>
        </is>
      </c>
      <c r="E69" s="4" t="inlineStr">
        <is>
          <t>STORE17</t>
        </is>
      </c>
      <c r="F69" s="4" t="n">
        <v>2</v>
      </c>
      <c r="G69" s="19" t="n">
        <v>856.5700000000001</v>
      </c>
      <c r="H69" s="20" t="n">
        <v>0.24</v>
      </c>
      <c r="I69" s="4" t="inlineStr">
        <is>
          <t>Credit Card</t>
        </is>
      </c>
      <c r="J69" s="19" t="n">
        <v>1301.9864</v>
      </c>
      <c r="K69" s="18" t="inlineStr">
        <is>
          <t>Unknown</t>
        </is>
      </c>
      <c r="L69" s="18" t="inlineStr">
        <is>
          <t>Unknown</t>
        </is>
      </c>
      <c r="M69" s="18" t="inlineStr">
        <is>
          <t>Unknown</t>
        </is>
      </c>
      <c r="N69" s="18" t="inlineStr">
        <is>
          <t>Flagship</t>
        </is>
      </c>
    </row>
    <row r="70">
      <c r="A70" s="5" t="inlineStr">
        <is>
          <t>SALE66</t>
        </is>
      </c>
      <c r="B70" s="5" t="inlineStr">
        <is>
          <t>2023-10-14</t>
        </is>
      </c>
      <c r="C70" s="5" t="inlineStr">
        <is>
          <t>CUST1269</t>
        </is>
      </c>
      <c r="D70" s="5" t="inlineStr">
        <is>
          <t>PROD77</t>
        </is>
      </c>
      <c r="E70" s="5" t="inlineStr">
        <is>
          <t>STORE2</t>
        </is>
      </c>
      <c r="F70" s="5" t="n">
        <v>4</v>
      </c>
      <c r="G70" s="16" t="n">
        <v>814.25</v>
      </c>
      <c r="H70" s="17" t="n">
        <v>0.18</v>
      </c>
      <c r="I70" s="5" t="inlineStr">
        <is>
          <t>Credit Card</t>
        </is>
      </c>
      <c r="J70" s="16" t="n">
        <v>2670.74</v>
      </c>
      <c r="K70" s="18" t="inlineStr">
        <is>
          <t>Unknown</t>
        </is>
      </c>
      <c r="L70" s="18" t="inlineStr">
        <is>
          <t>Unknown</t>
        </is>
      </c>
      <c r="M70" s="18" t="inlineStr">
        <is>
          <t>Unknown</t>
        </is>
      </c>
      <c r="N70" s="18" t="inlineStr">
        <is>
          <t>Outlet</t>
        </is>
      </c>
    </row>
    <row r="71">
      <c r="A71" s="4" t="inlineStr">
        <is>
          <t>SALE67</t>
        </is>
      </c>
      <c r="B71" s="4" t="inlineStr">
        <is>
          <t>2023-11-25</t>
        </is>
      </c>
      <c r="C71" s="4" t="inlineStr">
        <is>
          <t>CUST1483</t>
        </is>
      </c>
      <c r="D71" s="4" t="inlineStr">
        <is>
          <t>PROD12</t>
        </is>
      </c>
      <c r="E71" s="4" t="inlineStr">
        <is>
          <t>STORE2</t>
        </is>
      </c>
      <c r="F71" s="4" t="n">
        <v>1</v>
      </c>
      <c r="G71" s="19" t="n">
        <v>989.17</v>
      </c>
      <c r="H71" s="20" t="n">
        <v>0.2</v>
      </c>
      <c r="I71" s="4" t="inlineStr">
        <is>
          <t>PayPal</t>
        </is>
      </c>
      <c r="J71" s="19" t="n">
        <v>791.336</v>
      </c>
      <c r="K71" s="18" t="inlineStr">
        <is>
          <t>Unknown</t>
        </is>
      </c>
      <c r="L71" s="18" t="inlineStr">
        <is>
          <t>Hair Strengthening Shampoo</t>
        </is>
      </c>
      <c r="M71" s="18" t="inlineStr">
        <is>
          <t>Beauty</t>
        </is>
      </c>
      <c r="N71" s="18" t="inlineStr">
        <is>
          <t>Outlet</t>
        </is>
      </c>
    </row>
    <row r="72">
      <c r="A72" s="5" t="inlineStr">
        <is>
          <t>SALE68</t>
        </is>
      </c>
      <c r="B72" s="5" t="inlineStr">
        <is>
          <t>2023-12-10</t>
        </is>
      </c>
      <c r="C72" s="5" t="inlineStr">
        <is>
          <t>CUST1372</t>
        </is>
      </c>
      <c r="D72" s="5" t="inlineStr">
        <is>
          <t>PROD72</t>
        </is>
      </c>
      <c r="E72" s="5" t="inlineStr">
        <is>
          <t>STORE10</t>
        </is>
      </c>
      <c r="F72" s="5" t="n">
        <v>4</v>
      </c>
      <c r="G72" s="16" t="n">
        <v>62.48</v>
      </c>
      <c r="H72" s="17" t="n">
        <v>0.18</v>
      </c>
      <c r="I72" s="5" t="inlineStr">
        <is>
          <t>Credit Card</t>
        </is>
      </c>
      <c r="J72" s="16" t="n">
        <v>204.9344</v>
      </c>
      <c r="K72" s="18" t="inlineStr">
        <is>
          <t>Unknown</t>
        </is>
      </c>
      <c r="L72" s="18" t="inlineStr">
        <is>
          <t>Unknown</t>
        </is>
      </c>
      <c r="M72" s="18" t="inlineStr">
        <is>
          <t>Unknown</t>
        </is>
      </c>
      <c r="N72" s="18" t="inlineStr">
        <is>
          <t>Online</t>
        </is>
      </c>
    </row>
    <row r="73">
      <c r="A73" s="4" t="inlineStr">
        <is>
          <t>SALE69</t>
        </is>
      </c>
      <c r="B73" s="4" t="inlineStr">
        <is>
          <t>2025-08-28</t>
        </is>
      </c>
      <c r="C73" s="4" t="inlineStr">
        <is>
          <t>CUST1423</t>
        </is>
      </c>
      <c r="D73" s="4" t="inlineStr">
        <is>
          <t>PROD13</t>
        </is>
      </c>
      <c r="E73" s="4" t="inlineStr">
        <is>
          <t>STORE16</t>
        </is>
      </c>
      <c r="F73" s="4" t="n">
        <v>4</v>
      </c>
      <c r="G73" s="19" t="n">
        <v>561.24</v>
      </c>
      <c r="H73" s="20" t="n">
        <v>0.24</v>
      </c>
      <c r="I73" s="4" t="inlineStr">
        <is>
          <t>Credit Card</t>
        </is>
      </c>
      <c r="J73" s="19" t="n">
        <v>1706.1696</v>
      </c>
      <c r="K73" s="18" t="inlineStr">
        <is>
          <t>Unknown</t>
        </is>
      </c>
      <c r="L73" s="18" t="inlineStr">
        <is>
          <t>USB-C Fast Charger</t>
        </is>
      </c>
      <c r="M73" s="18" t="inlineStr">
        <is>
          <t>Electronics</t>
        </is>
      </c>
      <c r="N73" s="18" t="inlineStr">
        <is>
          <t>Flagship</t>
        </is>
      </c>
    </row>
    <row r="74">
      <c r="A74" s="5" t="inlineStr">
        <is>
          <t>SALE70</t>
        </is>
      </c>
      <c r="B74" s="5" t="inlineStr">
        <is>
          <t>2025-07-11</t>
        </is>
      </c>
      <c r="C74" s="5" t="inlineStr">
        <is>
          <t>CUST1058</t>
        </is>
      </c>
      <c r="D74" s="5" t="inlineStr">
        <is>
          <t>PROD60</t>
        </is>
      </c>
      <c r="E74" s="5" t="inlineStr">
        <is>
          <t>STORE5</t>
        </is>
      </c>
      <c r="F74" s="5" t="n">
        <v>3</v>
      </c>
      <c r="G74" s="16" t="n">
        <v>92.23999999999999</v>
      </c>
      <c r="H74" s="17" t="n">
        <v>0.28</v>
      </c>
      <c r="I74" s="5" t="inlineStr">
        <is>
          <t>COD</t>
        </is>
      </c>
      <c r="J74" s="22" t="n">
        <v>199.2384</v>
      </c>
      <c r="K74" s="18" t="inlineStr">
        <is>
          <t>Unknown</t>
        </is>
      </c>
      <c r="L74" s="18" t="inlineStr">
        <is>
          <t>Unknown</t>
        </is>
      </c>
      <c r="M74" s="18" t="inlineStr">
        <is>
          <t>Unknown</t>
        </is>
      </c>
      <c r="N74" s="18" t="inlineStr">
        <is>
          <t>Outlet</t>
        </is>
      </c>
    </row>
    <row r="75">
      <c r="A75" s="4" t="inlineStr">
        <is>
          <t>SALE71</t>
        </is>
      </c>
      <c r="B75" s="4" t="inlineStr">
        <is>
          <t>2025-08-20</t>
        </is>
      </c>
      <c r="C75" s="4" t="inlineStr">
        <is>
          <t>CUST1168</t>
        </is>
      </c>
      <c r="D75" s="4" t="inlineStr">
        <is>
          <t>PROD72</t>
        </is>
      </c>
      <c r="E75" s="4" t="inlineStr">
        <is>
          <t>STORE1</t>
        </is>
      </c>
      <c r="F75" s="4" t="n">
        <v>2</v>
      </c>
      <c r="G75" s="19" t="n">
        <v>668.3</v>
      </c>
      <c r="H75" s="20" t="n">
        <v>0.07000000000000001</v>
      </c>
      <c r="I75" s="4" t="inlineStr">
        <is>
          <t>Credit Card</t>
        </is>
      </c>
      <c r="J75" s="19" t="n">
        <v>1243.038</v>
      </c>
      <c r="K75" s="18" t="inlineStr">
        <is>
          <t>Unknown</t>
        </is>
      </c>
      <c r="L75" s="18" t="inlineStr">
        <is>
          <t>Unknown</t>
        </is>
      </c>
      <c r="M75" s="18" t="inlineStr">
        <is>
          <t>Unknown</t>
        </is>
      </c>
      <c r="N75" s="18" t="inlineStr">
        <is>
          <t>Flagship</t>
        </is>
      </c>
    </row>
    <row r="76">
      <c r="A76" s="5" t="inlineStr">
        <is>
          <t>SALE72</t>
        </is>
      </c>
      <c r="B76" s="5" t="inlineStr">
        <is>
          <t>2024-08-29</t>
        </is>
      </c>
      <c r="C76" s="5" t="inlineStr">
        <is>
          <t>CUST1409</t>
        </is>
      </c>
      <c r="D76" s="5" t="inlineStr">
        <is>
          <t>PROD38</t>
        </is>
      </c>
      <c r="E76" s="5" t="inlineStr">
        <is>
          <t>STORE5</t>
        </is>
      </c>
      <c r="F76" s="5" t="n">
        <v>1</v>
      </c>
      <c r="G76" s="16" t="n">
        <v>553.8200000000001</v>
      </c>
      <c r="H76" s="17" t="n">
        <v>0.09</v>
      </c>
      <c r="I76" s="5" t="inlineStr">
        <is>
          <t>Credit Card</t>
        </is>
      </c>
      <c r="J76" s="16" t="n">
        <v>503.9762</v>
      </c>
      <c r="K76" s="18" t="inlineStr">
        <is>
          <t>Unknown</t>
        </is>
      </c>
      <c r="L76" s="18" t="inlineStr">
        <is>
          <t>Sports Water Hydration Pack</t>
        </is>
      </c>
      <c r="M76" s="18" t="inlineStr">
        <is>
          <t>Sports</t>
        </is>
      </c>
      <c r="N76" s="18" t="inlineStr">
        <is>
          <t>Outlet</t>
        </is>
      </c>
    </row>
    <row r="77">
      <c r="A77" s="4" t="inlineStr">
        <is>
          <t>SALE73</t>
        </is>
      </c>
      <c r="B77" s="4" t="inlineStr">
        <is>
          <t>2024-11-30</t>
        </is>
      </c>
      <c r="C77" s="4" t="inlineStr">
        <is>
          <t>CUST1037</t>
        </is>
      </c>
      <c r="D77" s="4" t="inlineStr">
        <is>
          <t>PROD45</t>
        </is>
      </c>
      <c r="E77" s="4" t="inlineStr">
        <is>
          <t>STORE11</t>
        </is>
      </c>
      <c r="F77" s="4" t="n">
        <v>2</v>
      </c>
      <c r="G77" s="19" t="n">
        <v>556.4299999999999</v>
      </c>
      <c r="H77" s="20" t="n">
        <v>0.13</v>
      </c>
      <c r="I77" s="4" t="inlineStr">
        <is>
          <t>Credit Card</t>
        </is>
      </c>
      <c r="J77" s="19" t="n">
        <v>968.1882000000001</v>
      </c>
      <c r="K77" s="18" t="inlineStr">
        <is>
          <t>Christopher Carter</t>
        </is>
      </c>
      <c r="L77" s="18" t="inlineStr">
        <is>
          <t>High-Grip Football</t>
        </is>
      </c>
      <c r="M77" s="18" t="inlineStr">
        <is>
          <t>Sports</t>
        </is>
      </c>
      <c r="N77" s="18" t="inlineStr">
        <is>
          <t>Online</t>
        </is>
      </c>
    </row>
    <row r="78">
      <c r="A78" s="5" t="inlineStr">
        <is>
          <t>SALE74</t>
        </is>
      </c>
      <c r="B78" s="5" t="inlineStr">
        <is>
          <t>2025-10-12</t>
        </is>
      </c>
      <c r="C78" s="5" t="inlineStr">
        <is>
          <t>CUST1273</t>
        </is>
      </c>
      <c r="D78" s="5" t="inlineStr">
        <is>
          <t>PROD20</t>
        </is>
      </c>
      <c r="E78" s="5" t="inlineStr">
        <is>
          <t>STORE8</t>
        </is>
      </c>
      <c r="F78" s="5" t="n">
        <v>1</v>
      </c>
      <c r="G78" s="16" t="n">
        <v>184.98</v>
      </c>
      <c r="H78" s="17" t="n">
        <v>0.1</v>
      </c>
      <c r="I78" s="5" t="inlineStr">
        <is>
          <t>COD</t>
        </is>
      </c>
      <c r="J78" s="16" t="n">
        <v>166.482</v>
      </c>
      <c r="K78" s="18" t="inlineStr">
        <is>
          <t>Unknown</t>
        </is>
      </c>
      <c r="L78" s="18" t="inlineStr">
        <is>
          <t>Outdoor Sports Water Bottle</t>
        </is>
      </c>
      <c r="M78" s="18" t="inlineStr">
        <is>
          <t>Sports</t>
        </is>
      </c>
      <c r="N78" s="18" t="inlineStr">
        <is>
          <t>Online</t>
        </is>
      </c>
    </row>
    <row r="79">
      <c r="A79" s="4" t="inlineStr">
        <is>
          <t>SALE75</t>
        </is>
      </c>
      <c r="B79" s="4" t="inlineStr">
        <is>
          <t>2024-07-27</t>
        </is>
      </c>
      <c r="C79" s="4" t="inlineStr">
        <is>
          <t>CUST1035</t>
        </is>
      </c>
      <c r="D79" s="4" t="inlineStr">
        <is>
          <t>PROD97</t>
        </is>
      </c>
      <c r="E79" s="4" t="inlineStr">
        <is>
          <t>STORE12</t>
        </is>
      </c>
      <c r="F79" s="4" t="n">
        <v>4</v>
      </c>
      <c r="G79" s="19" t="n">
        <v>700.1799999999999</v>
      </c>
      <c r="H79" s="20" t="n">
        <v>0.23</v>
      </c>
      <c r="I79" s="4" t="inlineStr">
        <is>
          <t>Credit Card</t>
        </is>
      </c>
      <c r="J79" s="19" t="n">
        <v>2156.5544</v>
      </c>
      <c r="K79" s="18" t="inlineStr">
        <is>
          <t>Rachel Myers</t>
        </is>
      </c>
      <c r="L79" s="18" t="inlineStr">
        <is>
          <t>Unknown</t>
        </is>
      </c>
      <c r="M79" s="18" t="inlineStr">
        <is>
          <t>Unknown</t>
        </is>
      </c>
      <c r="N79" s="18" t="inlineStr">
        <is>
          <t>Online</t>
        </is>
      </c>
    </row>
    <row r="80">
      <c r="A80" s="5" t="inlineStr">
        <is>
          <t>SALE76</t>
        </is>
      </c>
      <c r="B80" s="5" t="inlineStr">
        <is>
          <t>2023-12-25</t>
        </is>
      </c>
      <c r="C80" s="5" t="inlineStr">
        <is>
          <t>CUST1019</t>
        </is>
      </c>
      <c r="D80" s="5" t="inlineStr">
        <is>
          <t>PROD76</t>
        </is>
      </c>
      <c r="E80" s="5" t="inlineStr">
        <is>
          <t>STORE10</t>
        </is>
      </c>
      <c r="F80" s="5" t="n">
        <v>2</v>
      </c>
      <c r="G80" s="16" t="n">
        <v>686.3099999999999</v>
      </c>
      <c r="H80" s="17" t="n">
        <v>0.25</v>
      </c>
      <c r="I80" s="5" t="inlineStr">
        <is>
          <t>Credit Card</t>
        </is>
      </c>
      <c r="J80" s="16" t="n">
        <v>1029.465</v>
      </c>
      <c r="K80" s="18" t="inlineStr">
        <is>
          <t>Michael Torres</t>
        </is>
      </c>
      <c r="L80" s="18" t="inlineStr">
        <is>
          <t>Unknown</t>
        </is>
      </c>
      <c r="M80" s="18" t="inlineStr">
        <is>
          <t>Unknown</t>
        </is>
      </c>
      <c r="N80" s="18" t="inlineStr">
        <is>
          <t>Online</t>
        </is>
      </c>
    </row>
    <row r="81">
      <c r="A81" s="4" t="inlineStr">
        <is>
          <t>SALE77</t>
        </is>
      </c>
      <c r="B81" s="4" t="inlineStr">
        <is>
          <t>2025-05-23</t>
        </is>
      </c>
      <c r="C81" s="4" t="inlineStr">
        <is>
          <t>CUST1007</t>
        </is>
      </c>
      <c r="D81" s="4" t="inlineStr">
        <is>
          <t>PROD67</t>
        </is>
      </c>
      <c r="E81" s="4" t="inlineStr">
        <is>
          <t>STORE15</t>
        </is>
      </c>
      <c r="F81" s="4" t="n">
        <v>1</v>
      </c>
      <c r="G81" s="19" t="n">
        <v>687.8200000000001</v>
      </c>
      <c r="H81" s="20" t="n">
        <v>0.27</v>
      </c>
      <c r="I81" s="4" t="inlineStr">
        <is>
          <t>COD</t>
        </is>
      </c>
      <c r="J81" s="19" t="n">
        <v>502.1086</v>
      </c>
      <c r="K81" s="18" t="inlineStr">
        <is>
          <t>Daniel Boyd</t>
        </is>
      </c>
      <c r="L81" s="18" t="inlineStr">
        <is>
          <t>Unknown</t>
        </is>
      </c>
      <c r="M81" s="18" t="inlineStr">
        <is>
          <t>Unknown</t>
        </is>
      </c>
      <c r="N81" s="18" t="inlineStr">
        <is>
          <t>Flagship</t>
        </is>
      </c>
    </row>
    <row r="82">
      <c r="A82" s="5" t="inlineStr">
        <is>
          <t>SALE78</t>
        </is>
      </c>
      <c r="B82" s="5" t="inlineStr">
        <is>
          <t>2024-11-13</t>
        </is>
      </c>
      <c r="C82" s="5" t="inlineStr">
        <is>
          <t>CUST1221</t>
        </is>
      </c>
      <c r="D82" s="5" t="inlineStr">
        <is>
          <t>PROD83</t>
        </is>
      </c>
      <c r="E82" s="5" t="inlineStr">
        <is>
          <t>STORE8</t>
        </is>
      </c>
      <c r="F82" s="5" t="n">
        <v>2</v>
      </c>
      <c r="G82" s="16" t="n">
        <v>900.55</v>
      </c>
      <c r="H82" s="17" t="n">
        <v>0.16</v>
      </c>
      <c r="I82" s="5" t="inlineStr">
        <is>
          <t>Credit Card</t>
        </is>
      </c>
      <c r="J82" s="16" t="n">
        <v>1512.924</v>
      </c>
      <c r="K82" s="18" t="inlineStr">
        <is>
          <t>Unknown</t>
        </is>
      </c>
      <c r="L82" s="18" t="inlineStr">
        <is>
          <t>Unknown</t>
        </is>
      </c>
      <c r="M82" s="18" t="inlineStr">
        <is>
          <t>Unknown</t>
        </is>
      </c>
      <c r="N82" s="18" t="inlineStr">
        <is>
          <t>Online</t>
        </is>
      </c>
    </row>
    <row r="83">
      <c r="A83" s="4" t="inlineStr">
        <is>
          <t>SALE79</t>
        </is>
      </c>
      <c r="B83" s="4" t="inlineStr">
        <is>
          <t>2023-12-08</t>
        </is>
      </c>
      <c r="C83" s="4" t="inlineStr">
        <is>
          <t>CUST1115</t>
        </is>
      </c>
      <c r="D83" s="4" t="inlineStr">
        <is>
          <t>PROD21</t>
        </is>
      </c>
      <c r="E83" s="4" t="inlineStr">
        <is>
          <t>STORE2</t>
        </is>
      </c>
      <c r="F83" s="4" t="n">
        <v>1</v>
      </c>
      <c r="G83" s="19" t="n">
        <v>341.17</v>
      </c>
      <c r="H83" s="20" t="n">
        <v>0.15</v>
      </c>
      <c r="I83" s="4" t="inlineStr">
        <is>
          <t>Credit Card</t>
        </is>
      </c>
      <c r="J83" s="19" t="n">
        <v>289.9945</v>
      </c>
      <c r="K83" s="18" t="inlineStr">
        <is>
          <t>Unknown</t>
        </is>
      </c>
      <c r="L83" s="18" t="inlineStr">
        <is>
          <t>Multi-Purpose Storage Box</t>
        </is>
      </c>
      <c r="M83" s="18" t="inlineStr">
        <is>
          <t>Home</t>
        </is>
      </c>
      <c r="N83" s="18" t="inlineStr">
        <is>
          <t>Outlet</t>
        </is>
      </c>
    </row>
    <row r="84">
      <c r="A84" s="5" t="inlineStr">
        <is>
          <t>SALE80</t>
        </is>
      </c>
      <c r="B84" s="5" t="inlineStr">
        <is>
          <t>2025-08-16</t>
        </is>
      </c>
      <c r="C84" s="5" t="inlineStr">
        <is>
          <t>CUST1176</t>
        </is>
      </c>
      <c r="D84" s="5" t="inlineStr">
        <is>
          <t>PROD52</t>
        </is>
      </c>
      <c r="E84" s="5" t="inlineStr">
        <is>
          <t>STORE8</t>
        </is>
      </c>
      <c r="F84" s="5" t="n">
        <v>1</v>
      </c>
      <c r="G84" s="16" t="n">
        <v>442.27</v>
      </c>
      <c r="H84" s="17" t="n">
        <v>0.06</v>
      </c>
      <c r="I84" s="5" t="inlineStr">
        <is>
          <t>COD</t>
        </is>
      </c>
      <c r="J84" s="16" t="n">
        <v>415.7338</v>
      </c>
      <c r="K84" s="18" t="inlineStr">
        <is>
          <t>Unknown</t>
        </is>
      </c>
      <c r="L84" s="18" t="inlineStr">
        <is>
          <t>Unknown</t>
        </is>
      </c>
      <c r="M84" s="18" t="inlineStr">
        <is>
          <t>Unknown</t>
        </is>
      </c>
      <c r="N84" s="18" t="inlineStr">
        <is>
          <t>Online</t>
        </is>
      </c>
    </row>
    <row r="86">
      <c r="A86" s="23" t="inlineStr">
        <is>
          <t>Legend:</t>
        </is>
      </c>
    </row>
    <row r="87">
      <c r="A87" s="24" t="n"/>
      <c r="B87" s="25" t="inlineStr">
        <is>
          <t>Imputed Quantity (was missing → set to 1)</t>
        </is>
      </c>
    </row>
    <row r="88">
      <c r="A88" s="26" t="n"/>
      <c r="B88" s="25" t="inlineStr">
        <is>
          <t>Imputed Price/Total (was missing → calculated)</t>
        </is>
      </c>
    </row>
    <row r="89">
      <c r="A89" s="27" t="n"/>
      <c r="B89" s="25" t="inlineStr">
        <is>
          <t>XLOOKUP-enriched columns (from related tables)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14" customWidth="1" min="4" max="4"/>
  </cols>
  <sheetData>
    <row r="1" ht="28" customHeight="1">
      <c r="A1" s="1" t="inlineStr">
        <is>
          <t>EXCEL FORMULAS &amp; FUNCTIONS — ANALYSIS RESULTS</t>
        </is>
      </c>
    </row>
    <row r="3">
      <c r="A3" s="28" t="inlineStr">
        <is>
          <t>SUM FUNCTIONS</t>
        </is>
      </c>
    </row>
    <row r="4">
      <c r="A4" s="29" t="inlineStr">
        <is>
          <t>Formula</t>
        </is>
      </c>
      <c r="B4" s="29" t="inlineStr">
        <is>
          <t>Description</t>
        </is>
      </c>
      <c r="C4" s="29" t="inlineStr">
        <is>
          <t>Excel Formula Used</t>
        </is>
      </c>
      <c r="D4" s="29" t="inlineStr">
        <is>
          <t>Result</t>
        </is>
      </c>
    </row>
    <row r="5">
      <c r="A5" s="30" t="inlineStr">
        <is>
          <t>Total Revenue</t>
        </is>
      </c>
      <c r="B5" s="30" t="inlineStr">
        <is>
          <t>Sum of all Total_Amount</t>
        </is>
      </c>
      <c r="C5" s="30">
        <f>SUM(Total_Amount_column)</f>
        <v/>
      </c>
      <c r="D5" s="31" t="inlineStr">
        <is>
          <t>$83,124.15</t>
        </is>
      </c>
    </row>
    <row r="6">
      <c r="A6" s="32" t="inlineStr">
        <is>
          <t>Total Qty Sold</t>
        </is>
      </c>
      <c r="B6" s="32" t="inlineStr">
        <is>
          <t>Sum of all Quantity</t>
        </is>
      </c>
      <c r="C6" s="32">
        <f>SUM(Quantity_column)</f>
        <v/>
      </c>
      <c r="D6" s="33" t="n">
        <v>183</v>
      </c>
    </row>
    <row r="7">
      <c r="A7" s="30" t="inlineStr"/>
      <c r="D7" s="34" t="n"/>
    </row>
    <row r="8">
      <c r="A8" s="28" t="inlineStr">
        <is>
          <t>AVERAGE FUNCTIONS</t>
        </is>
      </c>
    </row>
    <row r="9">
      <c r="A9" s="29" t="inlineStr">
        <is>
          <t>Formula</t>
        </is>
      </c>
      <c r="B9" s="29" t="inlineStr">
        <is>
          <t>Description</t>
        </is>
      </c>
      <c r="C9" s="29" t="inlineStr">
        <is>
          <t>Excel Formula Used</t>
        </is>
      </c>
      <c r="D9" s="29" t="inlineStr">
        <is>
          <t>Result</t>
        </is>
      </c>
    </row>
    <row r="10">
      <c r="A10" s="32" t="inlineStr">
        <is>
          <t>Avg Unit Price</t>
        </is>
      </c>
      <c r="B10" s="32" t="inlineStr">
        <is>
          <t>Mean price across sales</t>
        </is>
      </c>
      <c r="C10" s="32">
        <f>AVERAGE(Unit_Price_column)</f>
        <v/>
      </c>
      <c r="D10" s="33" t="inlineStr">
        <is>
          <t>$520.37</t>
        </is>
      </c>
    </row>
    <row r="11">
      <c r="A11" s="30" t="inlineStr"/>
      <c r="D11" s="34" t="n"/>
    </row>
    <row r="12">
      <c r="A12" s="28" t="inlineStr">
        <is>
          <t>IF / COUNTIF FUNCTIONS</t>
        </is>
      </c>
    </row>
    <row r="13">
      <c r="A13" s="29" t="inlineStr">
        <is>
          <t>Formula</t>
        </is>
      </c>
      <c r="B13" s="29" t="inlineStr">
        <is>
          <t>Description</t>
        </is>
      </c>
      <c r="C13" s="29" t="inlineStr">
        <is>
          <t>Excel Formula Used</t>
        </is>
      </c>
      <c r="D13" s="29" t="inlineStr">
        <is>
          <t>Result</t>
        </is>
      </c>
    </row>
    <row r="14">
      <c r="A14" s="32" t="inlineStr">
        <is>
          <t>Credit Card Sales</t>
        </is>
      </c>
      <c r="B14" s="32" t="inlineStr">
        <is>
          <t>Count where Payment='Credit Card</t>
        </is>
      </c>
      <c r="C14" s="32">
        <f>COUNTIF(Payment_col,"Credit Card")</f>
        <v/>
      </c>
      <c r="D14" s="33" t="n">
        <v>37</v>
      </c>
    </row>
    <row r="15">
      <c r="A15" s="30" t="inlineStr">
        <is>
          <t>PayPal Sales</t>
        </is>
      </c>
      <c r="B15" s="30" t="inlineStr">
        <is>
          <t>Count where Payment='PayPal'</t>
        </is>
      </c>
      <c r="C15" s="30">
        <f>COUNTIF(Payment_col,"PayPal")</f>
        <v/>
      </c>
      <c r="D15" s="31" t="n">
        <v>25</v>
      </c>
    </row>
    <row r="16">
      <c r="A16" s="32" t="inlineStr">
        <is>
          <t>COD Sales</t>
        </is>
      </c>
      <c r="B16" s="32" t="inlineStr">
        <is>
          <t>Count where Payment='COD'</t>
        </is>
      </c>
      <c r="C16" s="32">
        <f>COUNTIF(Payment_col,"COD")</f>
        <v/>
      </c>
      <c r="D16" s="33" t="n">
        <v>19</v>
      </c>
    </row>
    <row r="17">
      <c r="A17" s="30" t="inlineStr">
        <is>
          <t>High-Value Sales</t>
        </is>
      </c>
      <c r="B17" s="30" t="inlineStr">
        <is>
          <t>Count sales &gt; $1,000</t>
        </is>
      </c>
      <c r="C17" s="30">
        <f>COUNTIF(Total_col,"&gt;1000")</f>
        <v/>
      </c>
      <c r="D17" s="31" t="n">
        <v>35</v>
      </c>
    </row>
    <row r="18">
      <c r="A18" s="32" t="inlineStr"/>
      <c r="D18" s="34" t="n"/>
    </row>
    <row r="19">
      <c r="A19" s="28" t="inlineStr">
        <is>
          <t>MAX / MIN FUNCTIONS</t>
        </is>
      </c>
    </row>
    <row r="20">
      <c r="A20" s="29" t="inlineStr">
        <is>
          <t>Formula</t>
        </is>
      </c>
      <c r="B20" s="29" t="inlineStr">
        <is>
          <t>Description</t>
        </is>
      </c>
      <c r="C20" s="29" t="inlineStr">
        <is>
          <t>Excel Formula Used</t>
        </is>
      </c>
      <c r="D20" s="29" t="inlineStr">
        <is>
          <t>Result</t>
        </is>
      </c>
    </row>
    <row r="21">
      <c r="A21" s="30" t="inlineStr">
        <is>
          <t>Max Sale Amount</t>
        </is>
      </c>
      <c r="B21" s="30" t="inlineStr">
        <is>
          <t>Largest single transaction</t>
        </is>
      </c>
      <c r="C21" s="30">
        <f>MAX(Total_Amount_col)</f>
        <v/>
      </c>
      <c r="D21" s="31" t="inlineStr">
        <is>
          <t>$2,933.32</t>
        </is>
      </c>
    </row>
    <row r="22">
      <c r="A22" s="32" t="inlineStr">
        <is>
          <t>Min Sale Amount</t>
        </is>
      </c>
      <c r="B22" s="32" t="inlineStr">
        <is>
          <t>Smallest single transaction</t>
        </is>
      </c>
      <c r="C22" s="32">
        <f>MIN(Total_Amount_col)</f>
        <v/>
      </c>
      <c r="D22" s="33" t="inlineStr">
        <is>
          <t>$116.77</t>
        </is>
      </c>
    </row>
    <row r="23">
      <c r="A23" s="30" t="inlineStr"/>
      <c r="D23" s="34" t="n"/>
    </row>
    <row r="24">
      <c r="A24" s="28" t="inlineStr">
        <is>
          <t>TEXT FUNCTIONS</t>
        </is>
      </c>
    </row>
    <row r="25">
      <c r="A25" s="29" t="inlineStr">
        <is>
          <t>Formula</t>
        </is>
      </c>
      <c r="B25" s="29" t="inlineStr">
        <is>
          <t>Description</t>
        </is>
      </c>
      <c r="C25" s="29" t="inlineStr">
        <is>
          <t>Excel Formula Used</t>
        </is>
      </c>
      <c r="D25" s="29" t="inlineStr">
        <is>
          <t>Result</t>
        </is>
      </c>
    </row>
    <row r="26">
      <c r="A26" s="32" t="inlineStr">
        <is>
          <t>Order Year</t>
        </is>
      </c>
      <c r="B26" s="32" t="inlineStr">
        <is>
          <t>Extract year from date</t>
        </is>
      </c>
      <c r="C26" s="32">
        <f>TEXT(Order_Date,"YYYY")</f>
        <v/>
      </c>
      <c r="D26" s="33" t="inlineStr">
        <is>
          <t>e.g. 2024</t>
        </is>
      </c>
    </row>
    <row r="27">
      <c r="A27" s="30" t="inlineStr">
        <is>
          <t>Order Month</t>
        </is>
      </c>
      <c r="B27" s="30" t="inlineStr">
        <is>
          <t>Extract month name</t>
        </is>
      </c>
      <c r="C27" s="30">
        <f>TEXT(Order_Date,"MMMM")</f>
        <v/>
      </c>
      <c r="D27" s="31" t="inlineStr">
        <is>
          <t>e.g. July</t>
        </is>
      </c>
    </row>
    <row r="28">
      <c r="A28" s="32" t="inlineStr"/>
      <c r="D28" s="34" t="n"/>
    </row>
    <row r="29">
      <c r="A29" s="28" t="inlineStr">
        <is>
          <t>DATA QUALITY CHECKS</t>
        </is>
      </c>
    </row>
    <row r="30">
      <c r="A30" s="29" t="inlineStr">
        <is>
          <t>Formula</t>
        </is>
      </c>
      <c r="B30" s="29" t="inlineStr">
        <is>
          <t>Description</t>
        </is>
      </c>
      <c r="C30" s="29" t="inlineStr">
        <is>
          <t>Excel Formula Used</t>
        </is>
      </c>
      <c r="D30" s="29" t="inlineStr">
        <is>
          <t>Result</t>
        </is>
      </c>
    </row>
    <row r="31">
      <c r="A31" s="30" t="inlineStr">
        <is>
          <t>Missing Quantity</t>
        </is>
      </c>
      <c r="B31" s="30" t="inlineStr">
        <is>
          <t>COUNTBLANK on Quantity col</t>
        </is>
      </c>
      <c r="C31" s="30">
        <f>COUNTBLANK(Quantity_col)</f>
        <v/>
      </c>
      <c r="D31" s="31" t="n">
        <v>5</v>
      </c>
    </row>
    <row r="32">
      <c r="A32" s="32" t="inlineStr">
        <is>
          <t>Missing Unit Price</t>
        </is>
      </c>
      <c r="B32" s="32" t="inlineStr">
        <is>
          <t>COUNTBLANK on Price col</t>
        </is>
      </c>
      <c r="C32" s="32">
        <f>COUNTBLANK(Unit_Price_col)</f>
        <v/>
      </c>
      <c r="D32" s="33" t="n">
        <v>2</v>
      </c>
    </row>
    <row r="33">
      <c r="A33" s="30" t="inlineStr">
        <is>
          <t>Duplicate Sale IDs</t>
        </is>
      </c>
      <c r="B33" s="30" t="inlineStr">
        <is>
          <t>COUNTIF to find duplicates</t>
        </is>
      </c>
      <c r="C33" s="30">
        <f>SUMPRODUCT((COUNTIF(A:A,A:A)&gt;1)*1)</f>
        <v/>
      </c>
      <c r="D33" s="31" t="n">
        <v>0</v>
      </c>
    </row>
  </sheetData>
  <mergeCells count="7">
    <mergeCell ref="A12:E12"/>
    <mergeCell ref="A29:E29"/>
    <mergeCell ref="A24:E24"/>
    <mergeCell ref="A19:E19"/>
    <mergeCell ref="A1:E1"/>
    <mergeCell ref="A8:E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1" t="inlineStr">
        <is>
          <t>DESCRIPTIVE STATISTICS — KEY NUMERIC FIELDS</t>
        </is>
      </c>
    </row>
    <row r="3" ht="30" customHeight="1">
      <c r="A3" s="2" t="inlineStr">
        <is>
          <t>Metric</t>
        </is>
      </c>
      <c r="B3" s="2" t="inlineStr">
        <is>
          <t>N</t>
        </is>
      </c>
      <c r="C3" s="2" t="inlineStr">
        <is>
          <t>Min</t>
        </is>
      </c>
      <c r="D3" s="2" t="inlineStr">
        <is>
          <t>Max</t>
        </is>
      </c>
      <c r="E3" s="2" t="inlineStr">
        <is>
          <t>Mean</t>
        </is>
      </c>
      <c r="F3" s="2" t="inlineStr">
        <is>
          <t>Median</t>
        </is>
      </c>
      <c r="G3" s="2" t="inlineStr">
        <is>
          <t>Mode</t>
        </is>
      </c>
      <c r="H3" s="2" t="inlineStr">
        <is>
          <t>Std Dev</t>
        </is>
      </c>
      <c r="I3" s="2" t="inlineStr">
        <is>
          <t>Range</t>
        </is>
      </c>
      <c r="J3" s="2" t="inlineStr">
        <is>
          <t>IQR</t>
        </is>
      </c>
    </row>
    <row r="4">
      <c r="A4" s="30" t="inlineStr">
        <is>
          <t>Customer Age</t>
        </is>
      </c>
      <c r="B4" s="30" t="n">
        <v>51</v>
      </c>
      <c r="C4" s="30" t="n">
        <v>18</v>
      </c>
      <c r="D4" s="30" t="n">
        <v>64</v>
      </c>
      <c r="E4" s="35" t="n">
        <v>42.55</v>
      </c>
      <c r="F4" s="30" t="n">
        <v>45</v>
      </c>
      <c r="G4" s="30" t="n">
        <v>55</v>
      </c>
      <c r="H4" s="35" t="n">
        <v>14.17</v>
      </c>
      <c r="I4" s="30" t="n">
        <v>46</v>
      </c>
      <c r="J4" s="35" t="n">
        <v>-1</v>
      </c>
    </row>
    <row r="5">
      <c r="A5" s="32" t="inlineStr">
        <is>
          <t>Unit Price ($)</t>
        </is>
      </c>
      <c r="B5" s="32" t="n">
        <v>79</v>
      </c>
      <c r="C5" s="36" t="n">
        <v>62.48</v>
      </c>
      <c r="D5" s="36" t="n">
        <v>996.33</v>
      </c>
      <c r="E5" s="36" t="n">
        <v>520.37</v>
      </c>
      <c r="F5" s="36" t="n">
        <v>517.13</v>
      </c>
      <c r="G5" s="32" t="n">
        <v>218.04</v>
      </c>
      <c r="H5" s="36" t="n">
        <v>287.68</v>
      </c>
      <c r="I5" s="36" t="n">
        <v>933.85</v>
      </c>
      <c r="J5" s="36" t="n">
        <v>32.79</v>
      </c>
    </row>
    <row r="6">
      <c r="A6" s="30" t="inlineStr">
        <is>
          <t>Total Sale Amount ($)</t>
        </is>
      </c>
      <c r="B6" s="30" t="n">
        <v>79</v>
      </c>
      <c r="C6" s="35" t="n">
        <v>116.77</v>
      </c>
      <c r="D6" s="35" t="n">
        <v>2933.32</v>
      </c>
      <c r="E6" s="35" t="n">
        <v>1052.2</v>
      </c>
      <c r="F6" s="35" t="n">
        <v>838.85</v>
      </c>
      <c r="G6" s="30" t="n">
        <v>198.4164</v>
      </c>
      <c r="H6" s="35" t="n">
        <v>787.72</v>
      </c>
      <c r="I6" s="35" t="n">
        <v>2816.55</v>
      </c>
      <c r="J6" s="35" t="n">
        <v>-271.11</v>
      </c>
    </row>
    <row r="7">
      <c r="A7" s="32" t="inlineStr">
        <is>
          <t>Quantity per Sale</t>
        </is>
      </c>
      <c r="B7" s="32" t="n">
        <v>76</v>
      </c>
      <c r="C7" s="32" t="n">
        <v>1</v>
      </c>
      <c r="D7" s="32" t="n">
        <v>4</v>
      </c>
      <c r="E7" s="36" t="n">
        <v>2.41</v>
      </c>
      <c r="F7" s="36" t="n">
        <v>2</v>
      </c>
      <c r="G7" s="32" t="n">
        <v>2</v>
      </c>
      <c r="H7" s="36" t="n">
        <v>1.12</v>
      </c>
      <c r="I7" s="32" t="n">
        <v>3</v>
      </c>
      <c r="J7" s="36" t="n">
        <v>-1</v>
      </c>
    </row>
    <row r="10">
      <c r="A10" s="28" t="inlineStr">
        <is>
          <t>LOYALTY LEVEL DISTRIBUTION</t>
        </is>
      </c>
    </row>
    <row r="11">
      <c r="A11" s="29" t="inlineStr">
        <is>
          <t>Loyalty Level</t>
        </is>
      </c>
      <c r="B11" s="29" t="inlineStr">
        <is>
          <t>Count</t>
        </is>
      </c>
      <c r="C11" s="29" t="inlineStr">
        <is>
          <t>Percentage</t>
        </is>
      </c>
      <c r="D11" s="29" t="inlineStr">
        <is>
          <t>Excel Formula</t>
        </is>
      </c>
    </row>
    <row r="12">
      <c r="A12" s="37" t="inlineStr">
        <is>
          <t>Bronze</t>
        </is>
      </c>
      <c r="B12" s="37" t="n">
        <v>9</v>
      </c>
      <c r="C12" s="38" t="n">
        <v>0.1764705882352941</v>
      </c>
      <c r="D12" s="37">
        <f>COUNTIF(Loyalty_col,"Bronze")/COUNTA(Loyalty_col)</f>
        <v/>
      </c>
    </row>
    <row r="13">
      <c r="A13" s="39" t="inlineStr">
        <is>
          <t>Bronze (Imputed)</t>
        </is>
      </c>
      <c r="B13" s="39" t="n">
        <v>4</v>
      </c>
      <c r="C13" s="40" t="n">
        <v>0.07843137254901961</v>
      </c>
      <c r="D13" s="39">
        <f>COUNTIF(Loyalty_col,"Bronze (Imputed)")/COUNTA(Loyalty_col)</f>
        <v/>
      </c>
    </row>
    <row r="14">
      <c r="A14" s="41" t="inlineStr">
        <is>
          <t>Gold</t>
        </is>
      </c>
      <c r="B14" s="41" t="n">
        <v>12</v>
      </c>
      <c r="C14" s="42" t="n">
        <v>0.2352941176470588</v>
      </c>
      <c r="D14" s="41">
        <f>COUNTIF(Loyalty_col,"Gold")/COUNTA(Loyalty_col)</f>
        <v/>
      </c>
    </row>
    <row r="15">
      <c r="A15" s="43" t="inlineStr">
        <is>
          <t>Platinum</t>
        </is>
      </c>
      <c r="B15" s="43" t="n">
        <v>16</v>
      </c>
      <c r="C15" s="44" t="n">
        <v>0.3137254901960784</v>
      </c>
      <c r="D15" s="43">
        <f>COUNTIF(Loyalty_col,"Platinum")/COUNTA(Loyalty_col)</f>
        <v/>
      </c>
    </row>
    <row r="16">
      <c r="A16" s="45" t="inlineStr">
        <is>
          <t>Silver</t>
        </is>
      </c>
      <c r="B16" s="45" t="n">
        <v>10</v>
      </c>
      <c r="C16" s="46" t="n">
        <v>0.196078431372549</v>
      </c>
      <c r="D16" s="45">
        <f>COUNTIF(Loyalty_col,"Silver")/COUNTA(Loyalty_col)</f>
        <v/>
      </c>
    </row>
    <row r="20">
      <c r="A20" s="28" t="inlineStr">
        <is>
          <t>GENDER DISTRIBUTION</t>
        </is>
      </c>
    </row>
    <row r="21">
      <c r="A21" s="29" t="inlineStr">
        <is>
          <t>Gender</t>
        </is>
      </c>
      <c r="B21" s="29" t="inlineStr">
        <is>
          <t>Count</t>
        </is>
      </c>
      <c r="C21" s="29" t="inlineStr">
        <is>
          <t>% of Total</t>
        </is>
      </c>
      <c r="D21" s="29" t="inlineStr">
        <is>
          <t>Formula</t>
        </is>
      </c>
    </row>
    <row r="22">
      <c r="A22" s="30" t="inlineStr">
        <is>
          <t>Male</t>
        </is>
      </c>
      <c r="B22" s="30" t="n">
        <v>18</v>
      </c>
      <c r="C22" s="47" t="n">
        <v>0.3529411764705883</v>
      </c>
      <c r="D22" s="30">
        <f>COUNTIF(Gender_col,"Male")/COUNTA(Gender_col)</f>
        <v/>
      </c>
    </row>
    <row r="23">
      <c r="A23" s="30" t="inlineStr">
        <is>
          <t>Female</t>
        </is>
      </c>
      <c r="B23" s="30" t="n">
        <v>33</v>
      </c>
      <c r="C23" s="47" t="n">
        <v>0.6470588235294118</v>
      </c>
      <c r="D23" s="30">
        <f>COUNTIF(Gender_col,"Female")/COUNTA(Gender_col)</f>
        <v/>
      </c>
    </row>
  </sheetData>
  <mergeCells count="3">
    <mergeCell ref="A10:D10"/>
    <mergeCell ref="A1:F1"/>
    <mergeCell ref="A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PIVOT SUMMARY TABLES — MULTI-DIMENSIONAL ANALYSIS</t>
        </is>
      </c>
    </row>
    <row r="3">
      <c r="A3" s="28" t="inlineStr">
        <is>
          <t>Pivot 1: Revenue by Payment Type</t>
        </is>
      </c>
    </row>
    <row r="4">
      <c r="A4" s="29" t="inlineStr">
        <is>
          <t>Payment Type</t>
        </is>
      </c>
      <c r="B4" s="29" t="inlineStr">
        <is>
          <t># Sales</t>
        </is>
      </c>
      <c r="C4" s="29" t="inlineStr">
        <is>
          <t>Total Qty</t>
        </is>
      </c>
      <c r="D4" s="29" t="inlineStr">
        <is>
          <t>Total Revenue</t>
        </is>
      </c>
      <c r="E4" s="29" t="inlineStr">
        <is>
          <t>Avg Sale</t>
        </is>
      </c>
    </row>
    <row r="5">
      <c r="A5" s="48" t="inlineStr">
        <is>
          <t>COD</t>
        </is>
      </c>
      <c r="B5" s="48" t="n">
        <v>19</v>
      </c>
      <c r="C5" s="48" t="n">
        <v>39</v>
      </c>
      <c r="D5" s="49" t="n">
        <v>17317.26270000001</v>
      </c>
      <c r="E5" s="49" t="n">
        <v>911.4348789473688</v>
      </c>
    </row>
    <row r="6">
      <c r="A6" s="50" t="inlineStr">
        <is>
          <t>Credit Card</t>
        </is>
      </c>
      <c r="B6" s="50" t="n">
        <v>37</v>
      </c>
      <c r="C6" s="50" t="n">
        <v>88</v>
      </c>
      <c r="D6" s="51" t="n">
        <v>38953.6892</v>
      </c>
      <c r="E6" s="51" t="n">
        <v>1052.802410810811</v>
      </c>
    </row>
    <row r="7">
      <c r="A7" s="52" t="inlineStr">
        <is>
          <t>PayPal</t>
        </is>
      </c>
      <c r="B7" s="52" t="n">
        <v>25</v>
      </c>
      <c r="C7" s="52" t="n">
        <v>56</v>
      </c>
      <c r="D7" s="53" t="n">
        <v>26853.19369999999</v>
      </c>
      <c r="E7" s="53" t="n">
        <v>1074.127748</v>
      </c>
    </row>
    <row r="8">
      <c r="A8" s="54" t="inlineStr">
        <is>
          <t>GRAND TOTAL</t>
        </is>
      </c>
      <c r="B8" s="54" t="n">
        <v>81</v>
      </c>
      <c r="C8" s="54" t="n">
        <v>183</v>
      </c>
      <c r="D8" s="55" t="n">
        <v>83124.1456</v>
      </c>
      <c r="E8" s="55" t="n">
        <v>1026.224019753086</v>
      </c>
    </row>
    <row r="11">
      <c r="A11" s="28" t="inlineStr">
        <is>
          <t>Pivot 2: Sales by Store Type</t>
        </is>
      </c>
    </row>
    <row r="12">
      <c r="A12" s="29" t="inlineStr">
        <is>
          <t>Store Type</t>
        </is>
      </c>
      <c r="B12" s="29" t="inlineStr">
        <is>
          <t># Sales</t>
        </is>
      </c>
      <c r="C12" s="29" t="inlineStr">
        <is>
          <t>Total Revenue</t>
        </is>
      </c>
      <c r="D12" s="29" t="inlineStr">
        <is>
          <t>Avg Sale</t>
        </is>
      </c>
    </row>
    <row r="13">
      <c r="A13" s="56" t="inlineStr">
        <is>
          <t>Flagship</t>
        </is>
      </c>
      <c r="B13" s="56" t="n">
        <v>23</v>
      </c>
      <c r="C13" s="57" t="n">
        <v>26438.5859</v>
      </c>
      <c r="D13" s="57" t="n">
        <v>1149.503734782609</v>
      </c>
    </row>
    <row r="14">
      <c r="A14" s="41" t="inlineStr">
        <is>
          <t>Online</t>
        </is>
      </c>
      <c r="B14" s="41" t="n">
        <v>43</v>
      </c>
      <c r="C14" s="58" t="n">
        <v>41847.72099999999</v>
      </c>
      <c r="D14" s="58" t="n">
        <v>973.2028139534882</v>
      </c>
    </row>
    <row r="15">
      <c r="A15" s="59" t="inlineStr">
        <is>
          <t>Outlet</t>
        </is>
      </c>
      <c r="B15" s="59" t="n">
        <v>15</v>
      </c>
      <c r="C15" s="60" t="n">
        <v>14837.8387</v>
      </c>
      <c r="D15" s="60" t="n">
        <v>989.1892466666666</v>
      </c>
    </row>
    <row r="18">
      <c r="A18" s="28" t="inlineStr">
        <is>
          <t>Pivot 3: Sales by Year</t>
        </is>
      </c>
    </row>
    <row r="19">
      <c r="A19" s="29" t="inlineStr">
        <is>
          <t>Year</t>
        </is>
      </c>
      <c r="B19" s="29" t="inlineStr">
        <is>
          <t># Sales</t>
        </is>
      </c>
      <c r="C19" s="29" t="inlineStr">
        <is>
          <t>Total Revenue</t>
        </is>
      </c>
      <c r="D19" s="29" t="inlineStr">
        <is>
          <t>Avg Sale</t>
        </is>
      </c>
    </row>
    <row r="20">
      <c r="A20" s="50" t="inlineStr">
        <is>
          <t>2023</t>
        </is>
      </c>
      <c r="B20" s="50" t="n">
        <v>17</v>
      </c>
      <c r="C20" s="51" t="n">
        <v>15815.8171</v>
      </c>
      <c r="D20" s="51" t="n">
        <v>930.3421823529413</v>
      </c>
    </row>
    <row r="21">
      <c r="A21" s="52" t="inlineStr">
        <is>
          <t>2024</t>
        </is>
      </c>
      <c r="B21" s="52" t="n">
        <v>37</v>
      </c>
      <c r="C21" s="53" t="n">
        <v>45616.35079999999</v>
      </c>
      <c r="D21" s="53" t="n">
        <v>1232.874345945946</v>
      </c>
    </row>
    <row r="22">
      <c r="A22" s="48" t="inlineStr">
        <is>
          <t>2025</t>
        </is>
      </c>
      <c r="B22" s="48" t="n">
        <v>27</v>
      </c>
      <c r="C22" s="49" t="n">
        <v>21691.9777</v>
      </c>
      <c r="D22" s="49" t="n">
        <v>803.4065814814816</v>
      </c>
    </row>
  </sheetData>
  <mergeCells count="4">
    <mergeCell ref="A11:D11"/>
    <mergeCell ref="A18:D18"/>
    <mergeCell ref="A3:D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11" max="11"/>
    <col width="14" customWidth="1" min="12" max="12"/>
  </cols>
  <sheetData>
    <row r="1" ht="28" customHeight="1">
      <c r="A1" s="1" t="inlineStr">
        <is>
          <t>DATA VISUALIZATIONS — CHARTS &amp; ANALYSIS</t>
        </is>
      </c>
    </row>
    <row r="3">
      <c r="A3" s="61" t="inlineStr">
        <is>
          <t>Revenue by Payment Type</t>
        </is>
      </c>
      <c r="K3" s="61" t="inlineStr">
        <is>
          <t>Loyalty Level Distribution</t>
        </is>
      </c>
    </row>
    <row r="4">
      <c r="A4" s="29" t="inlineStr">
        <is>
          <t>Payment Type</t>
        </is>
      </c>
      <c r="B4" s="29" t="inlineStr">
        <is>
          <t>Revenue ($)</t>
        </is>
      </c>
      <c r="C4" s="29" t="inlineStr">
        <is>
          <t># Transactions</t>
        </is>
      </c>
      <c r="K4" s="29" t="inlineStr">
        <is>
          <t>Loyalty Level</t>
        </is>
      </c>
      <c r="L4" s="29" t="inlineStr">
        <is>
          <t>Count</t>
        </is>
      </c>
    </row>
    <row r="5">
      <c r="A5" s="30" t="inlineStr">
        <is>
          <t>COD</t>
        </is>
      </c>
      <c r="B5" s="35" t="n">
        <v>17317.26</v>
      </c>
      <c r="C5" s="30" t="n">
        <v>19</v>
      </c>
      <c r="K5" s="62" t="inlineStr">
        <is>
          <t>Bronze</t>
        </is>
      </c>
      <c r="L5" s="62" t="n">
        <v>9</v>
      </c>
    </row>
    <row r="6">
      <c r="A6" s="30" t="inlineStr">
        <is>
          <t>Credit Card</t>
        </is>
      </c>
      <c r="B6" s="35" t="n">
        <v>38953.69</v>
      </c>
      <c r="C6" s="30" t="n">
        <v>37</v>
      </c>
      <c r="K6" s="62" t="inlineStr">
        <is>
          <t>Bronze (Imputed)</t>
        </is>
      </c>
      <c r="L6" s="62" t="n">
        <v>4</v>
      </c>
    </row>
    <row r="7">
      <c r="A7" s="30" t="inlineStr">
        <is>
          <t>PayPal</t>
        </is>
      </c>
      <c r="B7" s="35" t="n">
        <v>26853.19</v>
      </c>
      <c r="C7" s="30" t="n">
        <v>25</v>
      </c>
      <c r="K7" s="62" t="inlineStr">
        <is>
          <t>Gold</t>
        </is>
      </c>
      <c r="L7" s="62" t="n">
        <v>12</v>
      </c>
    </row>
    <row r="8">
      <c r="K8" s="62" t="inlineStr">
        <is>
          <t>Platinum</t>
        </is>
      </c>
      <c r="L8" s="62" t="n">
        <v>16</v>
      </c>
    </row>
    <row r="9">
      <c r="K9" s="62" t="inlineStr">
        <is>
          <t>Silver</t>
        </is>
      </c>
      <c r="L9" s="62" t="n">
        <v>10</v>
      </c>
    </row>
    <row r="22">
      <c r="A22" s="61" t="inlineStr">
        <is>
          <t>Sales Trend by Year</t>
        </is>
      </c>
      <c r="K22" s="61" t="inlineStr">
        <is>
          <t>Revenue by Store Type</t>
        </is>
      </c>
    </row>
    <row r="23">
      <c r="A23" s="29" t="inlineStr">
        <is>
          <t>Year</t>
        </is>
      </c>
      <c r="B23" s="29" t="inlineStr">
        <is>
          <t>Revenue ($)</t>
        </is>
      </c>
      <c r="C23" s="29" t="inlineStr">
        <is>
          <t># Sales</t>
        </is>
      </c>
      <c r="K23" s="29" t="inlineStr">
        <is>
          <t>Store Type</t>
        </is>
      </c>
      <c r="L23" s="29" t="inlineStr">
        <is>
          <t>Revenue ($)</t>
        </is>
      </c>
    </row>
    <row r="24">
      <c r="A24" s="30" t="inlineStr">
        <is>
          <t>2023</t>
        </is>
      </c>
      <c r="B24" s="35" t="n">
        <v>15815.82</v>
      </c>
      <c r="C24" s="30" t="n">
        <v>17</v>
      </c>
      <c r="K24" s="62" t="inlineStr">
        <is>
          <t>Flagship</t>
        </is>
      </c>
      <c r="L24" s="63" t="n">
        <v>26438.59</v>
      </c>
    </row>
    <row r="25">
      <c r="A25" s="30" t="inlineStr">
        <is>
          <t>2024</t>
        </is>
      </c>
      <c r="B25" s="35" t="n">
        <v>45616.35</v>
      </c>
      <c r="C25" s="30" t="n">
        <v>37</v>
      </c>
      <c r="K25" s="62" t="inlineStr">
        <is>
          <t>Online</t>
        </is>
      </c>
      <c r="L25" s="63" t="n">
        <v>41847.72</v>
      </c>
    </row>
    <row r="26">
      <c r="A26" s="30" t="inlineStr">
        <is>
          <t>2025</t>
        </is>
      </c>
      <c r="B26" s="35" t="n">
        <v>21691.98</v>
      </c>
      <c r="C26" s="30" t="n">
        <v>27</v>
      </c>
      <c r="K26" s="62" t="inlineStr">
        <is>
          <t>Outlet</t>
        </is>
      </c>
      <c r="L26" s="63" t="n">
        <v>14837.84</v>
      </c>
    </row>
  </sheetData>
  <mergeCells count="5">
    <mergeCell ref="A1:H1"/>
    <mergeCell ref="K22:M22"/>
    <mergeCell ref="A22:C22"/>
    <mergeCell ref="A3:C3"/>
    <mergeCell ref="K3:M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4" customWidth="1" min="7" max="7"/>
    <col width="18" customWidth="1" min="8" max="8"/>
    <col width="14" customWidth="1" min="9" max="9"/>
    <col width="16" customWidth="1" min="10" max="10"/>
    <col width="14" customWidth="1" min="11" max="11"/>
    <col width="14" customWidth="1" min="12" max="12"/>
    <col width="4" customWidth="1" min="13" max="13"/>
    <col width="4" customWidth="1" min="14" max="14"/>
  </cols>
  <sheetData>
    <row r="1" ht="40" customHeight="1">
      <c r="A1" s="64" t="inlineStr">
        <is>
          <t>📊  RETAIL SALES ANALYTICS DASHBOARD</t>
        </is>
      </c>
    </row>
    <row r="2" ht="20" customHeight="1">
      <c r="A2" s="65" t="inlineStr">
        <is>
          <t>Data Period: Oct 2023 – Oct 2025  |  Sample: 81 Sales Records  |  500 Customers  |  100 Products  |  20 Stores</t>
        </is>
      </c>
    </row>
    <row r="4" ht="22" customHeight="1">
      <c r="A4" s="66" t="inlineStr">
        <is>
          <t>Total Revenue</t>
        </is>
      </c>
      <c r="D4" s="67" t="inlineStr">
        <is>
          <t>Avg Sale Value</t>
        </is>
      </c>
      <c r="G4" s="68" t="inlineStr">
        <is>
          <t>Total Transactions</t>
        </is>
      </c>
      <c r="J4" s="69" t="inlineStr">
        <is>
          <t>Top Payment</t>
        </is>
      </c>
    </row>
    <row r="5" ht="35" customHeight="1">
      <c r="A5" s="70" t="inlineStr">
        <is>
          <t>$83,124</t>
        </is>
      </c>
      <c r="D5" s="71" t="inlineStr">
        <is>
          <t>$1,026</t>
        </is>
      </c>
      <c r="G5" s="72" t="inlineStr">
        <is>
          <t>81</t>
        </is>
      </c>
      <c r="J5" s="73" t="inlineStr">
        <is>
          <t>Credit Card</t>
        </is>
      </c>
    </row>
    <row r="6" ht="8" customHeight="1"/>
    <row r="8">
      <c r="A8" s="28" t="inlineStr">
        <is>
          <t>PAYMENT METHOD BREAKDOWN</t>
        </is>
      </c>
      <c r="H8" s="28" t="inlineStr">
        <is>
          <t>YEAR-OVER-YEAR SALES</t>
        </is>
      </c>
    </row>
    <row r="9">
      <c r="A9" s="29" t="inlineStr">
        <is>
          <t>Payment Type</t>
        </is>
      </c>
      <c r="B9" s="29" t="inlineStr">
        <is>
          <t>Transactions</t>
        </is>
      </c>
      <c r="C9" s="29" t="inlineStr">
        <is>
          <t>Revenue</t>
        </is>
      </c>
      <c r="D9" s="29" t="inlineStr">
        <is>
          <t>% Share</t>
        </is>
      </c>
      <c r="H9" s="29" t="inlineStr">
        <is>
          <t>Year</t>
        </is>
      </c>
      <c r="I9" s="29" t="inlineStr">
        <is>
          <t>Sales Count</t>
        </is>
      </c>
      <c r="J9" s="29" t="inlineStr">
        <is>
          <t>Revenue</t>
        </is>
      </c>
    </row>
    <row r="10">
      <c r="A10" s="74" t="inlineStr">
        <is>
          <t>COD</t>
        </is>
      </c>
      <c r="B10" s="74" t="n">
        <v>19</v>
      </c>
      <c r="C10" s="75" t="n">
        <v>17317.26270000001</v>
      </c>
      <c r="D10" s="76" t="n">
        <v>0.2083301136511171</v>
      </c>
      <c r="H10" s="77" t="inlineStr">
        <is>
          <t>2023</t>
        </is>
      </c>
      <c r="I10" s="77" t="n">
        <v>17</v>
      </c>
      <c r="J10" s="78" t="n">
        <v>15815.8171</v>
      </c>
    </row>
    <row r="11">
      <c r="A11" s="77" t="inlineStr">
        <is>
          <t>Credit Card</t>
        </is>
      </c>
      <c r="B11" s="77" t="n">
        <v>37</v>
      </c>
      <c r="C11" s="78" t="n">
        <v>38953.6892</v>
      </c>
      <c r="D11" s="79" t="n">
        <v>0.4686206266401612</v>
      </c>
      <c r="H11" s="80" t="inlineStr">
        <is>
          <t>2024</t>
        </is>
      </c>
      <c r="I11" s="80" t="n">
        <v>37</v>
      </c>
      <c r="J11" s="81" t="n">
        <v>45616.35079999999</v>
      </c>
    </row>
    <row r="12">
      <c r="A12" s="80" t="inlineStr">
        <is>
          <t>PayPal</t>
        </is>
      </c>
      <c r="B12" s="80" t="n">
        <v>25</v>
      </c>
      <c r="C12" s="81" t="n">
        <v>26853.19369999999</v>
      </c>
      <c r="D12" s="82" t="n">
        <v>0.3230492597087217</v>
      </c>
      <c r="H12" s="74" t="inlineStr">
        <is>
          <t>2025</t>
        </is>
      </c>
      <c r="I12" s="74" t="n">
        <v>27</v>
      </c>
      <c r="J12" s="75" t="n">
        <v>21691.9777</v>
      </c>
    </row>
    <row r="15">
      <c r="A15" s="28" t="inlineStr">
        <is>
          <t>STORE TYPE PERFORMANCE</t>
        </is>
      </c>
      <c r="H15" s="28" t="inlineStr">
        <is>
          <t>LOYALTY LEVEL SNAPSHOT</t>
        </is>
      </c>
    </row>
    <row r="16">
      <c r="A16" s="29" t="inlineStr">
        <is>
          <t>Store Type</t>
        </is>
      </c>
      <c r="B16" s="29" t="inlineStr">
        <is>
          <t># Sales</t>
        </is>
      </c>
      <c r="C16" s="29" t="inlineStr">
        <is>
          <t>Revenue</t>
        </is>
      </c>
      <c r="D16" s="29" t="inlineStr">
        <is>
          <t>Avg</t>
        </is>
      </c>
      <c r="H16" s="29" t="inlineStr">
        <is>
          <t>Level</t>
        </is>
      </c>
      <c r="I16" s="29" t="inlineStr">
        <is>
          <t>Count</t>
        </is>
      </c>
      <c r="J16" s="29" t="inlineStr">
        <is>
          <t>%</t>
        </is>
      </c>
    </row>
    <row r="17">
      <c r="A17" s="83" t="inlineStr">
        <is>
          <t>Flagship</t>
        </is>
      </c>
      <c r="B17" s="83" t="n">
        <v>23</v>
      </c>
      <c r="C17" s="84" t="n">
        <v>26438.5859</v>
      </c>
      <c r="D17" s="84" t="n">
        <v>1149.503734782609</v>
      </c>
      <c r="H17" s="85" t="inlineStr">
        <is>
          <t>Bronze</t>
        </is>
      </c>
      <c r="I17" s="85" t="n">
        <v>9</v>
      </c>
      <c r="J17" s="86" t="n">
        <v>0.1764705882352941</v>
      </c>
    </row>
    <row r="18">
      <c r="A18" s="87" t="inlineStr">
        <is>
          <t>Online</t>
        </is>
      </c>
      <c r="B18" s="87" t="n">
        <v>43</v>
      </c>
      <c r="C18" s="88" t="n">
        <v>41847.72099999999</v>
      </c>
      <c r="D18" s="88" t="n">
        <v>973.2028139534882</v>
      </c>
      <c r="H18" s="89" t="inlineStr">
        <is>
          <t>Bronze (Imputed)</t>
        </is>
      </c>
      <c r="I18" s="89" t="n">
        <v>4</v>
      </c>
      <c r="J18" s="90" t="n">
        <v>0.07843137254901961</v>
      </c>
    </row>
    <row r="19">
      <c r="A19" s="91" t="inlineStr">
        <is>
          <t>Outlet</t>
        </is>
      </c>
      <c r="B19" s="91" t="n">
        <v>15</v>
      </c>
      <c r="C19" s="92" t="n">
        <v>14837.8387</v>
      </c>
      <c r="D19" s="92" t="n">
        <v>989.1892466666666</v>
      </c>
      <c r="H19" s="87" t="inlineStr">
        <is>
          <t>Gold</t>
        </is>
      </c>
      <c r="I19" s="87" t="n">
        <v>12</v>
      </c>
      <c r="J19" s="93" t="n">
        <v>0.2352941176470588</v>
      </c>
    </row>
    <row r="20">
      <c r="H20" s="94" t="inlineStr">
        <is>
          <t>Platinum</t>
        </is>
      </c>
      <c r="I20" s="94" t="n">
        <v>16</v>
      </c>
      <c r="J20" s="95" t="n">
        <v>0.3137254901960784</v>
      </c>
    </row>
    <row r="21">
      <c r="H21" s="96" t="inlineStr">
        <is>
          <t>Silver</t>
        </is>
      </c>
      <c r="I21" s="96" t="n">
        <v>10</v>
      </c>
      <c r="J21" s="97" t="n">
        <v>0.196078431372549</v>
      </c>
    </row>
    <row r="22">
      <c r="A22" s="28" t="inlineStr">
        <is>
          <t>CUSTOMER AGE GROUP ANALYSIS</t>
        </is>
      </c>
    </row>
    <row r="23">
      <c r="A23" s="29" t="inlineStr">
        <is>
          <t>Age Group</t>
        </is>
      </c>
      <c r="B23" s="29" t="inlineStr">
        <is>
          <t>Count</t>
        </is>
      </c>
      <c r="C23" s="29" t="inlineStr">
        <is>
          <t>%</t>
        </is>
      </c>
    </row>
    <row r="24">
      <c r="A24" s="77" t="inlineStr">
        <is>
          <t>18-24</t>
        </is>
      </c>
      <c r="B24" s="77" t="n">
        <v>6</v>
      </c>
      <c r="C24" s="79" t="n">
        <v>0.1176470588235294</v>
      </c>
    </row>
    <row r="25">
      <c r="A25" s="80" t="inlineStr">
        <is>
          <t>25-34</t>
        </is>
      </c>
      <c r="B25" s="80" t="n">
        <v>13</v>
      </c>
      <c r="C25" s="82" t="n">
        <v>0.2549019607843137</v>
      </c>
    </row>
    <row r="26">
      <c r="A26" s="74" t="inlineStr">
        <is>
          <t>35-44</t>
        </is>
      </c>
      <c r="B26" s="74" t="n">
        <v>5</v>
      </c>
      <c r="C26" s="76" t="n">
        <v>0.09803921568627451</v>
      </c>
    </row>
    <row r="27">
      <c r="A27" s="98" t="inlineStr">
        <is>
          <t>45-54</t>
        </is>
      </c>
      <c r="B27" s="98" t="n">
        <v>15</v>
      </c>
      <c r="C27" s="99" t="n">
        <v>0.2941176470588235</v>
      </c>
    </row>
    <row r="28">
      <c r="A28" s="94" t="inlineStr">
        <is>
          <t>55-64</t>
        </is>
      </c>
      <c r="B28" s="94" t="n">
        <v>12</v>
      </c>
      <c r="C28" s="95" t="n">
        <v>0.2352941176470588</v>
      </c>
    </row>
    <row r="32">
      <c r="A32" s="100" t="inlineStr">
        <is>
          <t>📌  Data Analytics Assignment | All cleaning steps documented in sheets 1–6 | Pivot analysis in sheet 9 | Charts in sheet 10</t>
        </is>
      </c>
    </row>
  </sheetData>
  <mergeCells count="20">
    <mergeCell ref="J5:K5"/>
    <mergeCell ref="A6:B6"/>
    <mergeCell ref="A1:N1"/>
    <mergeCell ref="D6:E6"/>
    <mergeCell ref="J6:K6"/>
    <mergeCell ref="A8:F8"/>
    <mergeCell ref="A22:F22"/>
    <mergeCell ref="G6:H6"/>
    <mergeCell ref="J4:K4"/>
    <mergeCell ref="H15:M15"/>
    <mergeCell ref="A2:N2"/>
    <mergeCell ref="A5:B5"/>
    <mergeCell ref="G5:H5"/>
    <mergeCell ref="D4:E4"/>
    <mergeCell ref="H8:M8"/>
    <mergeCell ref="A32:N32"/>
    <mergeCell ref="A15:F15"/>
    <mergeCell ref="A4:B4"/>
    <mergeCell ref="G4:H4"/>
    <mergeCell ref="D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2026-04-09T14:40:28Z</dcterms:created>
  <dcterms:modified xmlns:dcterms="http://purl.org/dc/terms/" xmlns:xsi="http://www.w3.org/2001/XMLSchema-instance" xsi:type="dcterms:W3CDTF">2026-04-09T14:40:29Z</dcterms:modified>
</cp:coreProperties>
</file>